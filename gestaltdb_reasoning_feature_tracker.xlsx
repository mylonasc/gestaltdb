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81f41f7bac48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Register" sheetId="1" r:id="R050d3eabef1d4fe7"/>
    <x:sheet xmlns:r="http://schemas.openxmlformats.org/officeDocument/2006/relationships" name="Dashboard" sheetId="2" r:id="R5a2141c461de4b08"/>
    <x:sheet xmlns:r="http://schemas.openxmlformats.org/officeDocument/2006/relationships" name="Roadmap" sheetId="3" r:id="Re43d410f03434d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6263D"/>
      </x:patternFill>
    </x:fill>
    <x:fill>
      <x:patternFill patternType="solid">
        <x:fgColor rgb="FFD9E6F2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</x:cellXfs>
  <x:cellStyles count="1">
    <x:cellStyle name="Normal" xfId="0"/>
  </x:cellStyles>
  <x:dxfs count="7">
    <x:dxf>
      <x:fill>
        <x:patternFill patternType="solid">
          <x:bgColor rgb="FFDCFCE7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E2E8F0"/>
        </x:patternFill>
      </x:fill>
    </x:dxf>
    <x:dxf>
      <x:fill>
        <x:patternFill patternType="solid">
          <x:bgColor rgb="FFDBEAFE"/>
        </x:patternFill>
      </x:fill>
    </x:dxf>
    <x:dxf>
      <x:fill>
        <x:patternFill patternType="solid">
          <x:bgColor rgb="FFFED7AA"/>
        </x:patternFill>
      </x:fill>
    </x:dxf>
    <x:dxf>
      <x:fill>
        <x:patternFill patternType="solid">
          <x:bgColor rgb="FFBBF7D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21cf5171904905" /><Relationship Type="http://schemas.openxmlformats.org/officeDocument/2006/relationships/theme" Target="/xl/theme/theme1.xml" Id="Rdb69447524be4fda" /><Relationship Type="http://schemas.openxmlformats.org/officeDocument/2006/relationships/sharedStrings" Target="/xl/sharedStrings.xml" Id="R395774ad0460466d" /><Relationship Type="http://schemas.openxmlformats.org/officeDocument/2006/relationships/worksheet" Target="/xl/worksheets/sheet1.xml" Id="R050d3eabef1d4fe7" /><Relationship Type="http://schemas.openxmlformats.org/officeDocument/2006/relationships/worksheet" Target="/xl/worksheets/sheet2.xml" Id="R5a2141c461de4b08" /><Relationship Type="http://schemas.openxmlformats.org/officeDocument/2006/relationships/worksheet" Target="/xl/worksheets/sheet3.xml" Id="Re43d410f03434d38" /></Relationships>
</file>

<file path=xl/tables/table1.xml><?xml version="1.0" encoding="utf-8"?>
<x:table xmlns:x="http://schemas.openxmlformats.org/spreadsheetml/2006/main" id="1" name="ReasoningFeatureRegister" displayName="ReasoningFeatureRegister" ref="A1:K137" headerRowCount="1" totalsRowCount="0" totalsRowShown="0">
  <x:tableColumns count="11">
    <x:tableColumn id="1" name="ID"/>
    <x:tableColumn id="2" name="Workstream"/>
    <x:tableColumn id="3" name="Construct / execution primitive"/>
    <x:tableColumn id="4" name="Audit status"/>
    <x:tableColumn id="5" name="Priority"/>
    <x:tableColumn id="6" name="Suggested layer"/>
    <x:tableColumn id="7" name="Acceptance criterion"/>
    <x:tableColumn id="8" name="Reference URL"/>
    <x:tableColumn id="9" name="Verification / notes"/>
    <x:tableColumn id="10" name="Owner"/>
    <x:tableColumn id="11" name="Mileston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asoningMilestones" displayName="ReasoningMilestones" ref="A1:G9" headerRowCount="1" totalsRowCount="0" totalsRowShown="0">
  <x:tableColumns count="7">
    <x:tableColumn id="1" name="Milestone"/>
    <x:tableColumn id="2" name="Name"/>
    <x:tableColumn id="3" name="Deliverable"/>
    <x:tableColumn id="4" name="Priority"/>
    <x:tableColumn id="5" name="Lead layer"/>
    <x:tableColumn id="6" name="Acceptance gate"/>
    <x:tableColumn id="7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21673c8500a4d3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fbae0374f034d3f" /></Relationships>
</file>

<file path=xl/worksheets/sheet1.xml><?xml version="1.0" encoding="utf-8"?>
<x:worksheet xmlns:x="http://schemas.openxmlformats.org/spreadsheetml/2006/main">
  <x:sheetViews>
    <x:sheetView workbookViewId="0">
      <x:pane xSplit="3" ySplit="1" topLeftCell="D2" activePane="bottomRight" state="frozen"/>
    </x:sheetView>
  </x:sheetViews>
  <x:sheetFormatPr defaultRowHeight="15"/>
  <x:cols>
    <x:col min="1" max="1" width="10" hidden="0" customWidth="1"/>
    <x:col min="2" max="2" width="24" hidden="0" customWidth="1"/>
    <x:col min="3" max="3" width="38" hidden="0" customWidth="1"/>
    <x:col min="4" max="4" width="14" hidden="0" customWidth="1"/>
    <x:col min="5" max="5" width="11" hidden="0" customWidth="1"/>
    <x:col min="6" max="6" width="18" hidden="0" customWidth="1"/>
    <x:col min="7" max="7" width="77" hidden="0" customWidth="1"/>
    <x:col min="8" max="8" width="50" hidden="0" customWidth="1"/>
    <x:col min="9" max="9" width="50" hidden="0" customWidth="1"/>
    <x:col min="10" max="10" width="18" hidden="0" customWidth="1"/>
    <x:col min="11" max="11" width="15" hidden="0" customWidth="1"/>
  </x:cols>
  <x:sheetData>
    <x:row r="1" ht="32" customHeight="1">
      <x:c r="A1" s="4" t="str">
        <x:v>ID</x:v>
      </x:c>
      <x:c r="B1" s="4" t="str">
        <x:v>Workstream</x:v>
      </x:c>
      <x:c r="C1" s="4" t="str">
        <x:v>Construct / execution primitive</x:v>
      </x:c>
      <x:c r="D1" s="4" t="str">
        <x:v>Audit status</x:v>
      </x:c>
      <x:c r="E1" s="4" t="str">
        <x:v>Priority</x:v>
      </x:c>
      <x:c r="F1" s="4" t="str">
        <x:v>Suggested layer</x:v>
      </x:c>
      <x:c r="G1" s="4" t="str">
        <x:v>Acceptance criterion</x:v>
      </x:c>
      <x:c r="H1" s="4" t="str">
        <x:v>Reference URL</x:v>
      </x:c>
      <x:c r="I1" s="4" t="str">
        <x:v>Verification / notes</x:v>
      </x:c>
      <x:c r="J1" s="4" t="str">
        <x:v>Owner</x:v>
      </x:c>
      <x:c r="K1" s="4" t="str">
        <x:v>Milestone</x:v>
      </x:c>
    </x:row>
    <x:row r="2" ht="22" customHeight="1">
      <x:c r="A2" s="8" t="str">
        <x:v>GR-001</x:v>
      </x:c>
      <x:c r="B2" s="8" t="str">
        <x:v>Facts &amp; identity</x:v>
      </x:c>
      <x:c r="C2" s="8" t="str">
        <x:v>Stable entity &amp; relationship IDs</x:v>
      </x:c>
      <x:c r="D2" s="8" t="str">
        <x:v>Available</x:v>
      </x:c>
      <x:c r="E2" s="8" t="str">
        <x:v>P0</x:v>
      </x:c>
      <x:c r="F2" s="8" t="str">
        <x:v>Python/RocksDB</x:v>
      </x:c>
      <x:c r="G2" s="8" t="str">
        <x:v>Stable external identifiers survive reopen and temporal versioning.</x:v>
      </x:c>
      <x:c r="H2" s="8" t="str">
        <x:v>https://mylonasc.github.io/gestaltdb/temporal-versioning.html</x:v>
      </x:c>
      <x:c r="I2" s="8" t="str">
        <x:v>Proposed audit; verify with tests before changing status.</x:v>
      </x:c>
      <x:c r="J2" s="8" t="str"/>
      <x:c r="K2" s="8" t="str"/>
    </x:row>
    <x:row r="3" ht="22" customHeight="1">
      <x:c r="A3" s="8" t="str">
        <x:v>GR-002</x:v>
      </x:c>
      <x:c r="B3" s="8" t="str">
        <x:v>Facts &amp; identity</x:v>
      </x:c>
      <x:c r="C3" s="8" t="str">
        <x:v>Typed binary relationships</x:v>
      </x:c>
      <x:c r="D3" s="8" t="str">
        <x:v>Available</x:v>
      </x:c>
      <x:c r="E3" s="8" t="str">
        <x:v>P0</x:v>
      </x:c>
      <x:c r="F3" s="8" t="str">
        <x:v>RocksDB</x:v>
      </x:c>
      <x:c r="G3" s="8" t="str">
        <x:v>Enumerate typed outgoing and incoming edges.</x:v>
      </x:c>
      <x:c r="H3" s="8" t="str">
        <x:v>https://mylonasc.github.io/gestaltdb/temporal-versioning.html</x:v>
      </x:c>
      <x:c r="I3" s="8" t="str">
        <x:v>Proposed audit; verify with tests before changing status.</x:v>
      </x:c>
      <x:c r="J3" s="8" t="str"/>
      <x:c r="K3" s="8" t="str"/>
    </x:row>
    <x:row r="4" ht="22" customHeight="1">
      <x:c r="A4" s="8" t="str">
        <x:v>GR-003</x:v>
      </x:c>
      <x:c r="B4" s="8" t="str">
        <x:v>Facts &amp; identity</x:v>
      </x:c>
      <x:c r="C4" s="8" t="str">
        <x:v>Subject-predicate-object claims</x:v>
      </x:c>
      <x:c r="D4" s="8" t="str">
        <x:v>Available</x:v>
      </x:c>
      <x:c r="E4" s="8" t="str">
        <x:v>P0</x:v>
      </x:c>
      <x:c r="F4" s="8" t="str">
        <x:v>Python/RocksDB</x:v>
      </x:c>
      <x:c r="G4" s="8" t="str">
        <x:v>Persist and retrieve sourced proposition independently of graph-edge mutation.</x:v>
      </x:c>
      <x:c r="H4" s="8" t="str">
        <x:v>https://mylonasc.github.io/gestaltdb/temporal-versioning.html</x:v>
      </x:c>
      <x:c r="I4" s="8" t="str">
        <x:v>Proposed audit; verify with tests before changing status.</x:v>
      </x:c>
      <x:c r="J4" s="8" t="str"/>
      <x:c r="K4" s="8" t="str"/>
    </x:row>
    <x:row r="5" ht="22" customHeight="1">
      <x:c r="A5" s="8" t="str">
        <x:v>GR-004</x:v>
      </x:c>
      <x:c r="B5" s="8" t="str">
        <x:v>Facts &amp; identity</x:v>
      </x:c>
      <x:c r="C5" s="8" t="str">
        <x:v>Positive/negative evidence</x:v>
      </x:c>
      <x:c r="D5" s="8" t="str">
        <x:v>Available</x:v>
      </x:c>
      <x:c r="E5" s="8" t="str">
        <x:v>P0</x:v>
      </x:c>
      <x:c r="F5" s="8" t="str">
        <x:v>Semantics</x:v>
      </x:c>
      <x:c r="G5" s="8" t="str">
        <x:v>Return supported/refuted/both/unknown from independent polarity.</x:v>
      </x:c>
      <x:c r="H5" s="8" t="str">
        <x:v>https://mylonasc.github.io/gestaltdb/temporal-versioning.html</x:v>
      </x:c>
      <x:c r="I5" s="8" t="str">
        <x:v>Proposed audit; verify with tests before changing status.</x:v>
      </x:c>
      <x:c r="J5" s="8" t="str"/>
      <x:c r="K5" s="8" t="str"/>
    </x:row>
    <x:row r="6" ht="22" customHeight="1">
      <x:c r="A6" s="8" t="str">
        <x:v>GR-005</x:v>
      </x:c>
      <x:c r="B6" s="8" t="str">
        <x:v>Facts &amp; identity</x:v>
      </x:c>
      <x:c r="C6" s="8" t="str">
        <x:v>Sourced claim metadata</x:v>
      </x:c>
      <x:c r="D6" s="8" t="str">
        <x:v>Available</x:v>
      </x:c>
      <x:c r="E6" s="8" t="str">
        <x:v>P0</x:v>
      </x:c>
      <x:c r="F6" s="8" t="str">
        <x:v>Semantics</x:v>
      </x:c>
      <x:c r="G6" s="8" t="str">
        <x:v>Persist source, agent, world and confidence with claims.</x:v>
      </x:c>
      <x:c r="H6" s="8" t="str">
        <x:v>https://mylonasc.github.io/gestaltdb/temporal-versioning.html</x:v>
      </x:c>
      <x:c r="I6" s="8" t="str">
        <x:v>Proposed audit; verify with tests before changing status.</x:v>
      </x:c>
      <x:c r="J6" s="8" t="str"/>
      <x:c r="K6" s="8" t="str"/>
    </x:row>
    <x:row r="7" ht="22" customHeight="1">
      <x:c r="A7" s="8" t="str">
        <x:v>GR-006</x:v>
      </x:c>
      <x:c r="B7" s="8" t="str">
        <x:v>Facts &amp; identity</x:v>
      </x:c>
      <x:c r="C7" s="8" t="str">
        <x:v>Bitemporal immutable versions</x:v>
      </x:c>
      <x:c r="D7" s="8" t="str">
        <x:v>Available</x:v>
      </x:c>
      <x:c r="E7" s="8" t="str">
        <x:v>P0</x:v>
      </x:c>
      <x:c r="F7" s="8" t="str">
        <x:v>RocksDB</x:v>
      </x:c>
      <x:c r="G7" s="8" t="str">
        <x:v>Support valid time and system commit horizons.</x:v>
      </x:c>
      <x:c r="H7" s="8" t="str">
        <x:v>https://mylonasc.github.io/gestaltdb/temporal-versioning.html</x:v>
      </x:c>
      <x:c r="I7" s="8" t="str">
        <x:v>Proposed audit; verify with tests before changing status.</x:v>
      </x:c>
      <x:c r="J7" s="8" t="str"/>
      <x:c r="K7" s="8" t="str"/>
    </x:row>
    <x:row r="8" ht="22" customHeight="1">
      <x:c r="A8" s="8" t="str">
        <x:v>GR-007</x:v>
      </x:c>
      <x:c r="B8" s="8" t="str">
        <x:v>Facts &amp; identity</x:v>
      </x:c>
      <x:c r="C8" s="8" t="str">
        <x:v>Arbitrary-arity internal relations</x:v>
      </x:c>
      <x:c r="D8" s="8" t="str">
        <x:v>Required</x:v>
      </x:c>
      <x:c r="E8" s="8" t="str">
        <x:v>P1</x:v>
      </x:c>
      <x:c r="F8" s="8" t="str">
        <x:v>IR/native</x:v>
      </x:c>
      <x:c r="G8" s="8" t="str">
        <x:v>Represent n-ary relations and joins without graph schema workarounds.</x:v>
      </x:c>
      <x:c r="H8" s="8" t="str">
        <x:v>https://mylonasc.github.io/gestaltdb/temporal-versioning.html</x:v>
      </x:c>
      <x:c r="I8" s="8" t="str">
        <x:v>Proposed audit; verify with tests before changing status.</x:v>
      </x:c>
      <x:c r="J8" s="8" t="str"/>
      <x:c r="K8" s="8" t="str"/>
    </x:row>
    <x:row r="9" ht="22" customHeight="1">
      <x:c r="A9" s="8" t="str">
        <x:v>GR-008</x:v>
      </x:c>
      <x:c r="B9" s="8" t="str">
        <x:v>Facts &amp; identity</x:v>
      </x:c>
      <x:c r="C9" s="8" t="str">
        <x:v>Typed literals in rules</x:v>
      </x:c>
      <x:c r="D9" s="8" t="str">
        <x:v>Partial</x:v>
      </x:c>
      <x:c r="E9" s="8" t="str">
        <x:v>P1</x:v>
      </x:c>
      <x:c r="F9" s="8" t="str">
        <x:v>IR/native</x:v>
      </x:c>
      <x:c r="G9" s="8" t="str">
        <x:v>Allow literal terms and typed comparisons in rule bodies and heads.</x:v>
      </x:c>
      <x:c r="H9" s="8" t="str">
        <x:v>https://mylonasc.github.io/gestaltdb/temporal-versioning.html</x:v>
      </x:c>
      <x:c r="I9" s="8" t="str">
        <x:v>Proposed audit; verify with tests before changing status.</x:v>
      </x:c>
      <x:c r="J9" s="8" t="str"/>
      <x:c r="K9" s="8" t="str"/>
    </x:row>
    <x:row r="10" ht="22" customHeight="1">
      <x:c r="A10" s="8" t="str">
        <x:v>GR-009</x:v>
      </x:c>
      <x:c r="B10" s="8" t="str">
        <x:v>Facts &amp; identity</x:v>
      </x:c>
      <x:c r="C10" s="8" t="str">
        <x:v>Integer symbol/entity dictionary</x:v>
      </x:c>
      <x:c r="D10" s="8" t="str">
        <x:v>Required</x:v>
      </x:c>
      <x:c r="E10" s="8" t="str">
        <x:v>P0</x:v>
      </x:c>
      <x:c r="F10" s="8" t="str">
        <x:v>Native/RocksDB</x:v>
      </x:c>
      <x:c r="G10" s="8" t="str">
        <x:v>Bidirectional stable uint IDs, deterministic within snapshot.</x:v>
      </x:c>
      <x:c r="H10" s="8" t="str">
        <x:v>https://mylonasc.github.io/gestaltdb/temporal-versioning.html</x:v>
      </x:c>
      <x:c r="I10" s="8" t="str">
        <x:v>Proposed audit; verify with tests before changing status.</x:v>
      </x:c>
      <x:c r="J10" s="8" t="str"/>
      <x:c r="K10" s="8" t="str"/>
    </x:row>
    <x:row r="11" ht="22" customHeight="1">
      <x:c r="A11" s="8" t="str">
        <x:v>GR-010</x:v>
      </x:c>
      <x:c r="B11" s="8" t="str">
        <x:v>Facts &amp; identity</x:v>
      </x:c>
      <x:c r="C11" s="8" t="str">
        <x:v>Base vs inferred fact stores</x:v>
      </x:c>
      <x:c r="D11" s="8" t="str">
        <x:v>Partial</x:v>
      </x:c>
      <x:c r="E11" s="8" t="str">
        <x:v>P0</x:v>
      </x:c>
      <x:c r="F11" s="8" t="str">
        <x:v>RocksDB</x:v>
      </x:c>
      <x:c r="G11" s="8" t="str">
        <x:v>Rebuild derived layer without modifying authoritative source claims.</x:v>
      </x:c>
      <x:c r="H11" s="8" t="str">
        <x:v>https://mylonasc.github.io/gestaltdb/temporal-versioning.html</x:v>
      </x:c>
      <x:c r="I11" s="8" t="str">
        <x:v>Proposed audit; verify with tests before changing status.</x:v>
      </x:c>
      <x:c r="J11" s="8" t="str"/>
      <x:c r="K11" s="8" t="str"/>
    </x:row>
    <x:row r="12" ht="22" customHeight="1">
      <x:c r="A12" s="8" t="str">
        <x:v>GR-011</x:v>
      </x:c>
      <x:c r="B12" s="8" t="str">
        <x:v>Facts &amp; identity</x:v>
      </x:c>
      <x:c r="C12" s="8" t="str">
        <x:v>Canonical fact identity</x:v>
      </x:c>
      <x:c r="D12" s="8" t="str">
        <x:v>Partial</x:v>
      </x:c>
      <x:c r="E12" s="8" t="str">
        <x:v>P0</x:v>
      </x:c>
      <x:c r="F12" s="8" t="str">
        <x:v>Native</x:v>
      </x:c>
      <x:c r="G12" s="8" t="str">
        <x:v>Same proposition from independent sources shares fact key, not evidence identity.</x:v>
      </x:c>
      <x:c r="H12" s="8" t="str">
        <x:v>https://mylonasc.github.io/gestaltdb/temporal-versioning.html</x:v>
      </x:c>
      <x:c r="I12" s="8" t="str">
        <x:v>Proposed audit; verify with tests before changing status.</x:v>
      </x:c>
      <x:c r="J12" s="8" t="str"/>
      <x:c r="K12" s="8" t="str"/>
    </x:row>
    <x:row r="13" ht="22" customHeight="1">
      <x:c r="A13" s="8" t="str">
        <x:v>GR-012</x:v>
      </x:c>
      <x:c r="B13" s="8" t="str">
        <x:v>Facts &amp; identity</x:v>
      </x:c>
      <x:c r="C13" s="8" t="str">
        <x:v>Deduplicated set relations</x:v>
      </x:c>
      <x:c r="D13" s="8" t="str">
        <x:v>Partial</x:v>
      </x:c>
      <x:c r="E13" s="8" t="str">
        <x:v>P0</x:v>
      </x:c>
      <x:c r="F13" s="8" t="str">
        <x:v>Native</x:v>
      </x:c>
      <x:c r="G13" s="8" t="str">
        <x:v>Insert-if-absent with exact membership check at scale.</x:v>
      </x:c>
      <x:c r="H13" s="8" t="str">
        <x:v>https://mylonasc.github.io/gestaltdb/temporal-versioning.html</x:v>
      </x:c>
      <x:c r="I13" s="8" t="str">
        <x:v>Proposed audit; verify with tests before changing status.</x:v>
      </x:c>
      <x:c r="J13" s="8" t="str"/>
      <x:c r="K13" s="8" t="str"/>
    </x:row>
    <x:row r="14" ht="22" customHeight="1">
      <x:c r="A14" s="8" t="str">
        <x:v>GR-013</x:v>
      </x:c>
      <x:c r="B14" s="8" t="str">
        <x:v>Facts &amp; identity</x:v>
      </x:c>
      <x:c r="C14" s="8" t="str">
        <x:v>Equality/equivalence facts</x:v>
      </x:c>
      <x:c r="D14" s="8" t="str">
        <x:v>Required</x:v>
      </x:c>
      <x:c r="E14" s="8" t="str">
        <x:v>P1</x:v>
      </x:c>
      <x:c r="F14" s="8" t="str">
        <x:v>Semantics/native</x:v>
      </x:c>
      <x:c r="G14" s="8" t="str">
        <x:v>Reason over equal individuals and canonicalized references.</x:v>
      </x:c>
      <x:c r="H14" s="8" t="str">
        <x:v>https://mylonasc.github.io/gestaltdb/temporal-versioning.html</x:v>
      </x:c>
      <x:c r="I14" s="8" t="str">
        <x:v>Proposed audit; verify with tests before changing status.</x:v>
      </x:c>
      <x:c r="J14" s="8" t="str"/>
      <x:c r="K14" s="8" t="str"/>
    </x:row>
    <x:row r="15" ht="22" customHeight="1">
      <x:c r="A15" s="8" t="str">
        <x:v>GR-014</x:v>
      </x:c>
      <x:c r="B15" s="8" t="str">
        <x:v>Facts &amp; identity</x:v>
      </x:c>
      <x:c r="C15" s="8" t="str">
        <x:v>Equivalence-class representatives</x:v>
      </x:c>
      <x:c r="D15" s="8" t="str">
        <x:v>Required</x:v>
      </x:c>
      <x:c r="E15" s="8" t="str">
        <x:v>P1</x:v>
      </x:c>
      <x:c r="F15" s="8" t="str">
        <x:v>Native</x:v>
      </x:c>
      <x:c r="G15" s="8" t="str">
        <x:v>Canonicalize joins under equality with deletion-safe rebuild.</x:v>
      </x:c>
      <x:c r="H15" s="8" t="str">
        <x:v>https://mylonasc.github.io/gestaltdb/temporal-versioning.html</x:v>
      </x:c>
      <x:c r="I15" s="8" t="str">
        <x:v>Proposed audit; verify with tests before changing status.</x:v>
      </x:c>
      <x:c r="J15" s="8" t="str"/>
      <x:c r="K15" s="8" t="str"/>
    </x:row>
    <x:row r="16" ht="22" customHeight="1">
      <x:c r="A16" s="8" t="str">
        <x:v>GR-015</x:v>
      </x:c>
      <x:c r="B16" s="8" t="str">
        <x:v>Facts &amp; identity</x:v>
      </x:c>
      <x:c r="C16" s="8" t="str">
        <x:v>Context-scoped fact partitions</x:v>
      </x:c>
      <x:c r="D16" s="8" t="str">
        <x:v>Partial</x:v>
      </x:c>
      <x:c r="E16" s="8" t="str">
        <x:v>P1</x:v>
      </x:c>
      <x:c r="F16" s="8" t="str">
        <x:v>Native</x:v>
      </x:c>
      <x:c r="G16" s="8" t="str">
        <x:v>World/context grouping without cross-context leakage.</x:v>
      </x:c>
      <x:c r="H16" s="8" t="str">
        <x:v>https://mylonasc.github.io/gestaltdb/temporal-versioning.html</x:v>
      </x:c>
      <x:c r="I16" s="8" t="str">
        <x:v>Proposed audit; verify with tests before changing status.</x:v>
      </x:c>
      <x:c r="J16" s="8" t="str"/>
      <x:c r="K16" s="8" t="str"/>
    </x:row>
    <x:row r="17" ht="22" customHeight="1">
      <x:c r="A17" s="8" t="str">
        <x:v>GR-016</x:v>
      </x:c>
      <x:c r="B17" s="8" t="str">
        <x:v>Facts &amp; identity</x:v>
      </x:c>
      <x:c r="C17" s="8" t="str">
        <x:v>Compressed columnar fact segments</x:v>
      </x:c>
      <x:c r="D17" s="8" t="str">
        <x:v>Required</x:v>
      </x:c>
      <x:c r="E17" s="8" t="str">
        <x:v>P1</x:v>
      </x:c>
      <x:c r="F17" s="8" t="str">
        <x:v>Native</x:v>
      </x:c>
      <x:c r="G17" s="8" t="str">
        <x:v>Compact typed contiguous buffers, spill/reload safely.</x:v>
      </x:c>
      <x:c r="H17" s="8" t="str">
        <x:v>https://mylonasc.github.io/gestaltdb/temporal-versioning.html</x:v>
      </x:c>
      <x:c r="I17" s="8" t="str">
        <x:v>Proposed audit; verify with tests before changing status.</x:v>
      </x:c>
      <x:c r="J17" s="8" t="str"/>
      <x:c r="K17" s="8" t="str"/>
    </x:row>
    <x:row r="18" ht="22" customHeight="1">
      <x:c r="A18" s="8" t="str">
        <x:v>GR-017</x:v>
      </x:c>
      <x:c r="B18" s="8" t="str">
        <x:v>Relational operators</x:v>
      </x:c>
      <x:c r="C18" s="8" t="str">
        <x:v>Predicate-indexed relation scan</x:v>
      </x:c>
      <x:c r="D18" s="8" t="str">
        <x:v>Partial</x:v>
      </x:c>
      <x:c r="E18" s="8" t="str">
        <x:v>P0</x:v>
      </x:c>
      <x:c r="F18" s="8" t="str">
        <x:v>Native/RocksDB</x:v>
      </x:c>
      <x:c r="G18" s="8" t="str">
        <x:v>Stream only a requested predicate at pinned horizon.</x:v>
      </x:c>
      <x:c r="H18" s="8" t="str">
        <x:v>https://raw.githubusercontent.com/mylonasc/gestaltdb/main/src/gestaltdb/graphdb.py</x:v>
      </x:c>
      <x:c r="I18" s="8" t="str">
        <x:v>Proposed audit; verify with tests before changing status.</x:v>
      </x:c>
      <x:c r="J18" s="8" t="str"/>
      <x:c r="K18" s="8" t="str"/>
    </x:row>
    <x:row r="19" ht="22" customHeight="1">
      <x:c r="A19" s="8" t="str">
        <x:v>GR-018</x:v>
      </x:c>
      <x:c r="B19" s="8" t="str">
        <x:v>Relational operators</x:v>
      </x:c>
      <x:c r="C19" s="8" t="str">
        <x:v>Variable binding &amp; unification</x:v>
      </x:c>
      <x:c r="D19" s="8" t="str">
        <x:v>Available</x:v>
      </x:c>
      <x:c r="E19" s="8" t="str">
        <x:v>P0</x:v>
      </x:c>
      <x:c r="F19" s="8" t="str">
        <x:v>Python</x:v>
      </x:c>
      <x:c r="G19" s="8" t="str">
        <x:v>Match repeated variables and constants correctly.</x:v>
      </x:c>
      <x:c r="H19" s="8" t="str">
        <x:v>https://raw.githubusercontent.com/mylonasc/gestaltdb/main/src/gestaltdb/graphdb.py</x:v>
      </x:c>
      <x:c r="I19" s="8" t="str">
        <x:v>Proposed audit; verify with tests before changing status.</x:v>
      </x:c>
      <x:c r="J19" s="8" t="str"/>
      <x:c r="K19" s="8" t="str"/>
    </x:row>
    <x:row r="20" ht="22" customHeight="1">
      <x:c r="A20" s="8" t="str">
        <x:v>GR-019</x:v>
      </x:c>
      <x:c r="B20" s="8" t="str">
        <x:v>Relational operators</x:v>
      </x:c>
      <x:c r="C20" s="8" t="str">
        <x:v>Selection &amp; projection</x:v>
      </x:c>
      <x:c r="D20" s="8" t="str">
        <x:v>Partial</x:v>
      </x:c>
      <x:c r="E20" s="8" t="str">
        <x:v>P0</x:v>
      </x:c>
      <x:c r="F20" s="8" t="str">
        <x:v>IR/native</x:v>
      </x:c>
      <x:c r="G20" s="8" t="str">
        <x:v>Apply filters and selected columns in batches.</x:v>
      </x:c>
      <x:c r="H20" s="8" t="str">
        <x:v>https://raw.githubusercontent.com/mylonasc/gestaltdb/main/src/gestaltdb/graphdb.py</x:v>
      </x:c>
      <x:c r="I20" s="8" t="str">
        <x:v>Proposed audit; verify with tests before changing status.</x:v>
      </x:c>
      <x:c r="J20" s="8" t="str"/>
      <x:c r="K20" s="8" t="str"/>
    </x:row>
    <x:row r="21" ht="22" customHeight="1">
      <x:c r="A21" s="8" t="str">
        <x:v>GR-020</x:v>
      </x:c>
      <x:c r="B21" s="8" t="str">
        <x:v>Relational operators</x:v>
      </x:c>
      <x:c r="C21" s="8" t="str">
        <x:v>Multi-relation equijoins</x:v>
      </x:c>
      <x:c r="D21" s="8" t="str">
        <x:v>Partial</x:v>
      </x:c>
      <x:c r="E21" s="8" t="str">
        <x:v>P0</x:v>
      </x:c>
      <x:c r="F21" s="8" t="str">
        <x:v>Python</x:v>
      </x:c>
      <x:c r="G21" s="8" t="str">
        <x:v>Join arbitrary body atoms on shared variables.</x:v>
      </x:c>
      <x:c r="H21" s="8" t="str">
        <x:v>https://raw.githubusercontent.com/mylonasc/gestaltdb/main/src/gestaltdb/graphdb.py</x:v>
      </x:c>
      <x:c r="I21" s="8" t="str">
        <x:v>Proposed audit; verify with tests before changing status.</x:v>
      </x:c>
      <x:c r="J21" s="8" t="str"/>
      <x:c r="K21" s="8" t="str"/>
    </x:row>
    <x:row r="22" ht="22" customHeight="1">
      <x:c r="A22" s="8" t="str">
        <x:v>GR-021</x:v>
      </x:c>
      <x:c r="B22" s="8" t="str">
        <x:v>Relational operators</x:v>
      </x:c>
      <x:c r="C22" s="8" t="str">
        <x:v>Hash join</x:v>
      </x:c>
      <x:c r="D22" s="8" t="str">
        <x:v>Required</x:v>
      </x:c>
      <x:c r="E22" s="8" t="str">
        <x:v>P0</x:v>
      </x:c>
      <x:c r="F22" s="8" t="str">
        <x:v>Native</x:v>
      </x:c>
      <x:c r="G22" s="8" t="str">
        <x:v>Hash/partition join with compact integer keys.</x:v>
      </x:c>
      <x:c r="H22" s="8" t="str">
        <x:v>https://raw.githubusercontent.com/mylonasc/gestaltdb/main/src/gestaltdb/graphdb.py</x:v>
      </x:c>
      <x:c r="I22" s="8" t="str">
        <x:v>Proposed audit; verify with tests before changing status.</x:v>
      </x:c>
      <x:c r="J22" s="8" t="str"/>
      <x:c r="K22" s="8" t="str"/>
    </x:row>
    <x:row r="23" ht="22" customHeight="1">
      <x:c r="A23" s="8" t="str">
        <x:v>GR-022</x:v>
      </x:c>
      <x:c r="B23" s="8" t="str">
        <x:v>Relational operators</x:v>
      </x:c>
      <x:c r="C23" s="8" t="str">
        <x:v>Index nested-loop join</x:v>
      </x:c>
      <x:c r="D23" s="8" t="str">
        <x:v>Required</x:v>
      </x:c>
      <x:c r="E23" s="8" t="str">
        <x:v>P0</x:v>
      </x:c>
      <x:c r="F23" s="8" t="str">
        <x:v>Native/RocksDB</x:v>
      </x:c>
      <x:c r="G23" s="8" t="str">
        <x:v>Seek using bound key columns without full relation scan.</x:v>
      </x:c>
      <x:c r="H23" s="8" t="str">
        <x:v>https://raw.githubusercontent.com/mylonasc/gestaltdb/main/src/gestaltdb/graphdb.py</x:v>
      </x:c>
      <x:c r="I23" s="8" t="str">
        <x:v>Proposed audit; verify with tests before changing status.</x:v>
      </x:c>
      <x:c r="J23" s="8" t="str"/>
      <x:c r="K23" s="8" t="str"/>
    </x:row>
    <x:row r="24" ht="22" customHeight="1">
      <x:c r="A24" s="8" t="str">
        <x:v>GR-023</x:v>
      </x:c>
      <x:c r="B24" s="8" t="str">
        <x:v>Relational operators</x:v>
      </x:c>
      <x:c r="C24" s="8" t="str">
        <x:v>Sort-merge join</x:v>
      </x:c>
      <x:c r="D24" s="8" t="str">
        <x:v>Required</x:v>
      </x:c>
      <x:c r="E24" s="8" t="str">
        <x:v>P1</x:v>
      </x:c>
      <x:c r="F24" s="8" t="str">
        <x:v>Native</x:v>
      </x:c>
      <x:c r="G24" s="8" t="str">
        <x:v>Merge sorted key-ordered batches.</x:v>
      </x:c>
      <x:c r="H24" s="8" t="str">
        <x:v>https://raw.githubusercontent.com/mylonasc/gestaltdb/main/src/gestaltdb/graphdb.py</x:v>
      </x:c>
      <x:c r="I24" s="8" t="str">
        <x:v>Proposed audit; verify with tests before changing status.</x:v>
      </x:c>
      <x:c r="J24" s="8" t="str"/>
      <x:c r="K24" s="8" t="str"/>
    </x:row>
    <x:row r="25" ht="22" customHeight="1">
      <x:c r="A25" s="8" t="str">
        <x:v>GR-024</x:v>
      </x:c>
      <x:c r="B25" s="8" t="str">
        <x:v>Relational operators</x:v>
      </x:c>
      <x:c r="C25" s="8" t="str">
        <x:v>Semi-join</x:v>
      </x:c>
      <x:c r="D25" s="8" t="str">
        <x:v>Required</x:v>
      </x:c>
      <x:c r="E25" s="8" t="str">
        <x:v>P1</x:v>
      </x:c>
      <x:c r="F25" s="8" t="str">
        <x:v>Native</x:v>
      </x:c>
      <x:c r="G25" s="8" t="str">
        <x:v>Filter rows by existence of matching relation.</x:v>
      </x:c>
      <x:c r="H25" s="8" t="str">
        <x:v>https://raw.githubusercontent.com/mylonasc/gestaltdb/main/src/gestaltdb/graphdb.py</x:v>
      </x:c>
      <x:c r="I25" s="8" t="str">
        <x:v>Proposed audit; verify with tests before changing status.</x:v>
      </x:c>
      <x:c r="J25" s="8" t="str"/>
      <x:c r="K25" s="8" t="str"/>
    </x:row>
    <x:row r="26" ht="22" customHeight="1">
      <x:c r="A26" s="8" t="str">
        <x:v>GR-025</x:v>
      </x:c>
      <x:c r="B26" s="8" t="str">
        <x:v>Relational operators</x:v>
      </x:c>
      <x:c r="C26" s="8" t="str">
        <x:v>Anti-join</x:v>
      </x:c>
      <x:c r="D26" s="8" t="str">
        <x:v>Required</x:v>
      </x:c>
      <x:c r="E26" s="8" t="str">
        <x:v>P1</x:v>
      </x:c>
      <x:c r="F26" s="8" t="str">
        <x:v>Native</x:v>
      </x:c>
      <x:c r="G26" s="8" t="str">
        <x:v>Stratified nonexistence with exact snapshot semantics.</x:v>
      </x:c>
      <x:c r="H26" s="8" t="str">
        <x:v>https://raw.githubusercontent.com/mylonasc/gestaltdb/main/src/gestaltdb/graphdb.py</x:v>
      </x:c>
      <x:c r="I26" s="8" t="str">
        <x:v>Proposed audit; verify with tests before changing status.</x:v>
      </x:c>
      <x:c r="J26" s="8" t="str"/>
      <x:c r="K26" s="8" t="str"/>
    </x:row>
    <x:row r="27" ht="22" customHeight="1">
      <x:c r="A27" s="8" t="str">
        <x:v>GR-026</x:v>
      </x:c>
      <x:c r="B27" s="8" t="str">
        <x:v>Relational operators</x:v>
      </x:c>
      <x:c r="C27" s="8" t="str">
        <x:v>Union and distinct</x:v>
      </x:c>
      <x:c r="D27" s="8" t="str">
        <x:v>Partial</x:v>
      </x:c>
      <x:c r="E27" s="8" t="str">
        <x:v>P0</x:v>
      </x:c>
      <x:c r="F27" s="8" t="str">
        <x:v>Native</x:v>
      </x:c>
      <x:c r="G27" s="8" t="str">
        <x:v>Deduplicate across rule alternatives and iterations.</x:v>
      </x:c>
      <x:c r="H27" s="8" t="str">
        <x:v>https://raw.githubusercontent.com/mylonasc/gestaltdb/main/src/gestaltdb/graphdb.py</x:v>
      </x:c>
      <x:c r="I27" s="8" t="str">
        <x:v>Proposed audit; verify with tests before changing status.</x:v>
      </x:c>
      <x:c r="J27" s="8" t="str"/>
      <x:c r="K27" s="8" t="str"/>
    </x:row>
    <x:row r="28" ht="22" customHeight="1">
      <x:c r="A28" s="8" t="str">
        <x:v>GR-027</x:v>
      </x:c>
      <x:c r="B28" s="8" t="str">
        <x:v>Relational operators</x:v>
      </x:c>
      <x:c r="C28" s="8" t="str">
        <x:v>Difference</x:v>
      </x:c>
      <x:c r="D28" s="8" t="str">
        <x:v>Required</x:v>
      </x:c>
      <x:c r="E28" s="8" t="str">
        <x:v>P1</x:v>
      </x:c>
      <x:c r="F28" s="8" t="str">
        <x:v>Native</x:v>
      </x:c>
      <x:c r="G28" s="8" t="str">
        <x:v>Compute new derivations minus stable facts.</x:v>
      </x:c>
      <x:c r="H28" s="8" t="str">
        <x:v>https://raw.githubusercontent.com/mylonasc/gestaltdb/main/src/gestaltdb/graphdb.py</x:v>
      </x:c>
      <x:c r="I28" s="8" t="str">
        <x:v>Proposed audit; verify with tests before changing status.</x:v>
      </x:c>
      <x:c r="J28" s="8" t="str"/>
      <x:c r="K28" s="8" t="str"/>
    </x:row>
    <x:row r="29" ht="22" customHeight="1">
      <x:c r="A29" s="8" t="str">
        <x:v>GR-028</x:v>
      </x:c>
      <x:c r="B29" s="8" t="str">
        <x:v>Relational operators</x:v>
      </x:c>
      <x:c r="C29" s="8" t="str">
        <x:v>Group/reduce</x:v>
      </x:c>
      <x:c r="D29" s="8" t="str">
        <x:v>Partial</x:v>
      </x:c>
      <x:c r="E29" s="8" t="str">
        <x:v>P1</x:v>
      </x:c>
      <x:c r="F29" s="8" t="str">
        <x:v>Native</x:v>
      </x:c>
      <x:c r="G29" s="8" t="str">
        <x:v>Aggregate typed relation columns safely.</x:v>
      </x:c>
      <x:c r="H29" s="8" t="str">
        <x:v>https://raw.githubusercontent.com/mylonasc/gestaltdb/main/src/gestaltdb/graphdb.py</x:v>
      </x:c>
      <x:c r="I29" s="8" t="str">
        <x:v>Proposed audit; verify with tests before changing status.</x:v>
      </x:c>
      <x:c r="J29" s="8" t="str"/>
      <x:c r="K29" s="8" t="str"/>
    </x:row>
    <x:row r="30" ht="22" customHeight="1">
      <x:c r="A30" s="8" t="str">
        <x:v>GR-029</x:v>
      </x:c>
      <x:c r="B30" s="8" t="str">
        <x:v>Relational operators</x:v>
      </x:c>
      <x:c r="C30" s="8" t="str">
        <x:v>Typed arithmetic/comparisons</x:v>
      </x:c>
      <x:c r="D30" s="8" t="str">
        <x:v>Partial</x:v>
      </x:c>
      <x:c r="E30" s="8" t="str">
        <x:v>P1</x:v>
      </x:c>
      <x:c r="F30" s="8" t="str">
        <x:v>IR/native</x:v>
      </x:c>
      <x:c r="G30" s="8" t="str">
        <x:v>Evaluate numeric/string/temporal predicates with explicit null/type rules.</x:v>
      </x:c>
      <x:c r="H30" s="8" t="str">
        <x:v>https://raw.githubusercontent.com/mylonasc/gestaltdb/main/src/gestaltdb/graphdb.py</x:v>
      </x:c>
      <x:c r="I30" s="8" t="str">
        <x:v>Proposed audit; verify with tests before changing status.</x:v>
      </x:c>
      <x:c r="J30" s="8" t="str"/>
      <x:c r="K30" s="8" t="str"/>
    </x:row>
    <x:row r="31" ht="22" customHeight="1">
      <x:c r="A31" s="8" t="str">
        <x:v>GR-030</x:v>
      </x:c>
      <x:c r="B31" s="8" t="str">
        <x:v>Relational operators</x:v>
      </x:c>
      <x:c r="C31" s="8" t="str">
        <x:v>Predicate-position variables</x:v>
      </x:c>
      <x:c r="D31" s="8" t="str">
        <x:v>Required</x:v>
      </x:c>
      <x:c r="E31" s="8" t="str">
        <x:v>P1</x:v>
      </x:c>
      <x:c r="F31" s="8" t="str">
        <x:v>IR/native</x:v>
      </x:c>
      <x:c r="G31" s="8" t="str">
        <x:v>Variable can bind relation/predicate ID under controlled plan.</x:v>
      </x:c>
      <x:c r="H31" s="8" t="str">
        <x:v>https://raw.githubusercontent.com/mylonasc/gestaltdb/main/src/gestaltdb/graphdb.py</x:v>
      </x:c>
      <x:c r="I31" s="8" t="str">
        <x:v>Proposed audit; verify with tests before changing status.</x:v>
      </x:c>
      <x:c r="J31" s="8" t="str"/>
      <x:c r="K31" s="8" t="str"/>
    </x:row>
    <x:row r="32" ht="22" customHeight="1">
      <x:c r="A32" s="8" t="str">
        <x:v>GR-031</x:v>
      </x:c>
      <x:c r="B32" s="8" t="str">
        <x:v>Relational operators</x:v>
      </x:c>
      <x:c r="C32" s="8" t="str">
        <x:v>Cost-based join ordering</x:v>
      </x:c>
      <x:c r="D32" s="8" t="str">
        <x:v>Required</x:v>
      </x:c>
      <x:c r="E32" s="8" t="str">
        <x:v>P0</x:v>
      </x:c>
      <x:c r="F32" s="8" t="str">
        <x:v>Planner</x:v>
      </x:c>
      <x:c r="G32" s="8" t="str">
        <x:v>Choose atom order and join operator by estimated cost.</x:v>
      </x:c>
      <x:c r="H32" s="8" t="str">
        <x:v>https://raw.githubusercontent.com/mylonasc/gestaltdb/main/src/gestaltdb/graphdb.py</x:v>
      </x:c>
      <x:c r="I32" s="8" t="str">
        <x:v>Proposed audit; verify with tests before changing status.</x:v>
      </x:c>
      <x:c r="J32" s="8" t="str"/>
      <x:c r="K32" s="8" t="str"/>
    </x:row>
    <x:row r="33" ht="22" customHeight="1">
      <x:c r="A33" s="8" t="str">
        <x:v>GR-032</x:v>
      </x:c>
      <x:c r="B33" s="8" t="str">
        <x:v>Relational operators</x:v>
      </x:c>
      <x:c r="C33" s="8" t="str">
        <x:v>Cardinality/selectivity statistics</x:v>
      </x:c>
      <x:c r="D33" s="8" t="str">
        <x:v>Required</x:v>
      </x:c>
      <x:c r="E33" s="8" t="str">
        <x:v>P0</x:v>
      </x:c>
      <x:c r="F33" s="8" t="str">
        <x:v>RocksDB/planner</x:v>
      </x:c>
      <x:c r="G33" s="8" t="str">
        <x:v>Track predicate size, distinct values and key skew.</x:v>
      </x:c>
      <x:c r="H33" s="8" t="str">
        <x:v>https://raw.githubusercontent.com/mylonasc/gestaltdb/main/src/gestaltdb/graphdb.py</x:v>
      </x:c>
      <x:c r="I33" s="8" t="str">
        <x:v>Proposed audit; verify with tests before changing status.</x:v>
      </x:c>
      <x:c r="J33" s="8" t="str"/>
      <x:c r="K33" s="8" t="str"/>
    </x:row>
    <x:row r="34" ht="22" customHeight="1">
      <x:c r="A34" s="8" t="str">
        <x:v>GR-033</x:v>
      </x:c>
      <x:c r="B34" s="8" t="str">
        <x:v>Relational operators</x:v>
      </x:c>
      <x:c r="C34" s="8" t="str">
        <x:v>Vectorized batch executor</x:v>
      </x:c>
      <x:c r="D34" s="8" t="str">
        <x:v>Required</x:v>
      </x:c>
      <x:c r="E34" s="8" t="str">
        <x:v>P0</x:v>
      </x:c>
      <x:c r="F34" s="8" t="str">
        <x:v>Native</x:v>
      </x:c>
      <x:c r="G34" s="8" t="str">
        <x:v>No Python callback per tuple; batched Arrow-like arrays.</x:v>
      </x:c>
      <x:c r="H34" s="8" t="str">
        <x:v>https://raw.githubusercontent.com/mylonasc/gestaltdb/main/src/gestaltdb/graphdb.py</x:v>
      </x:c>
      <x:c r="I34" s="8" t="str">
        <x:v>Proposed audit; verify with tests before changing status.</x:v>
      </x:c>
      <x:c r="J34" s="8" t="str"/>
      <x:c r="K34" s="8" t="str"/>
    </x:row>
    <x:row r="35" ht="22" customHeight="1">
      <x:c r="A35" s="8" t="str">
        <x:v>GR-034</x:v>
      </x:c>
      <x:c r="B35" s="8" t="str">
        <x:v>Relational operators</x:v>
      </x:c>
      <x:c r="C35" s="8" t="str">
        <x:v>Worst-case-optimal multiway joins</x:v>
      </x:c>
      <x:c r="D35" s="8" t="str">
        <x:v>Optional</x:v>
      </x:c>
      <x:c r="E35" s="8" t="str">
        <x:v>P2</x:v>
      </x:c>
      <x:c r="F35" s="8" t="str">
        <x:v>Native</x:v>
      </x:c>
      <x:c r="G35" s="8" t="str">
        <x:v>Benchmark against binary joins on cyclic rule bodies.</x:v>
      </x:c>
      <x:c r="H35" s="8" t="str">
        <x:v>https://raw.githubusercontent.com/mylonasc/gestaltdb/main/src/gestaltdb/graphdb.py</x:v>
      </x:c>
      <x:c r="I35" s="8" t="str">
        <x:v>Proposed audit; verify with tests before changing status.</x:v>
      </x:c>
      <x:c r="J35" s="8" t="str"/>
      <x:c r="K35" s="8" t="str"/>
    </x:row>
    <x:row r="36" ht="22" customHeight="1">
      <x:c r="A36" s="8" t="str">
        <x:v>GR-035</x:v>
      </x:c>
      <x:c r="B36" s="8" t="str">
        <x:v>Fixpoint &amp; rules</x:v>
      </x:c>
      <x:c r="C36" s="8" t="str">
        <x:v>Safe positive Horn rules</x:v>
      </x:c>
      <x:c r="D36" s="8" t="str">
        <x:v>Available</x:v>
      </x:c>
      <x:c r="E36" s="8" t="str">
        <x:v>P0</x:v>
      </x:c>
      <x:c r="F36" s="8" t="str">
        <x:v>Python</x:v>
      </x:c>
      <x:c r="G36" s="8" t="str">
        <x:v>Reject unbound head variables.</x:v>
      </x:c>
      <x:c r="H36" s="8" t="str">
        <x:v>https://raw.githubusercontent.com/mylonasc/gestaltdb/main/src/gestaltdb/graphdb.py</x:v>
      </x:c>
      <x:c r="I36" s="8" t="str">
        <x:v>Proposed audit; verify with tests before changing status.</x:v>
      </x:c>
      <x:c r="J36" s="8" t="str"/>
      <x:c r="K36" s="8" t="str"/>
    </x:row>
    <x:row r="37" ht="22" customHeight="1">
      <x:c r="A37" s="8" t="str">
        <x:v>GR-036</x:v>
      </x:c>
      <x:c r="B37" s="8" t="str">
        <x:v>Fixpoint &amp; rules</x:v>
      </x:c>
      <x:c r="C37" s="8" t="str">
        <x:v>Recursive rules and fixpoint</x:v>
      </x:c>
      <x:c r="D37" s="8" t="str">
        <x:v>Available</x:v>
      </x:c>
      <x:c r="E37" s="8" t="str">
        <x:v>P0</x:v>
      </x:c>
      <x:c r="F37" s="8" t="str">
        <x:v>Python</x:v>
      </x:c>
      <x:c r="G37" s="8" t="str">
        <x:v>Reach least fixpoint for finite monotone programs.</x:v>
      </x:c>
      <x:c r="H37" s="8" t="str">
        <x:v>https://raw.githubusercontent.com/mylonasc/gestaltdb/main/src/gestaltdb/graphdb.py</x:v>
      </x:c>
      <x:c r="I37" s="8" t="str">
        <x:v>Proposed audit; verify with tests before changing status.</x:v>
      </x:c>
      <x:c r="J37" s="8" t="str"/>
      <x:c r="K37" s="8" t="str"/>
    </x:row>
    <x:row r="38" ht="22" customHeight="1">
      <x:c r="A38" s="8" t="str">
        <x:v>GR-037</x:v>
      </x:c>
      <x:c r="B38" s="8" t="str">
        <x:v>Fixpoint &amp; rules</x:v>
      </x:c>
      <x:c r="C38" s="8" t="str">
        <x:v>Semi-naive delta filtering</x:v>
      </x:c>
      <x:c r="D38" s="8" t="str">
        <x:v>Available</x:v>
      </x:c>
      <x:c r="E38" s="8" t="str">
        <x:v>P0</x:v>
      </x:c>
      <x:c r="F38" s="8" t="str">
        <x:v>Python</x:v>
      </x:c>
      <x:c r="G38" s="8" t="str">
        <x:v>Only accept new matches with at least one delta premise.</x:v>
      </x:c>
      <x:c r="H38" s="8" t="str">
        <x:v>https://raw.githubusercontent.com/mylonasc/gestaltdb/main/src/gestaltdb/graphdb.py</x:v>
      </x:c>
      <x:c r="I38" s="8" t="str">
        <x:v>Proposed audit; verify with tests before changing status.</x:v>
      </x:c>
      <x:c r="J38" s="8" t="str"/>
      <x:c r="K38" s="8" t="str"/>
    </x:row>
    <x:row r="39" ht="22" customHeight="1">
      <x:c r="A39" s="8" t="str">
        <x:v>GR-038</x:v>
      </x:c>
      <x:c r="B39" s="8" t="str">
        <x:v>Fixpoint &amp; rules</x:v>
      </x:c>
      <x:c r="C39" s="8" t="str">
        <x:v>Per-atom delta-join variants</x:v>
      </x:c>
      <x:c r="D39" s="8" t="str">
        <x:v>Required</x:v>
      </x:c>
      <x:c r="E39" s="8" t="str">
        <x:v>P0</x:v>
      </x:c>
      <x:c r="F39" s="8" t="str">
        <x:v>Native/planner</x:v>
      </x:c>
      <x:c r="G39" s="8" t="str">
        <x:v>Compile seminaive evaluation plans with delta at each recursive occurrence.</x:v>
      </x:c>
      <x:c r="H39" s="8" t="str">
        <x:v>https://raw.githubusercontent.com/mylonasc/gestaltdb/main/src/gestaltdb/graphdb.py</x:v>
      </x:c>
      <x:c r="I39" s="8" t="str">
        <x:v>Proposed audit; verify with tests before changing status.</x:v>
      </x:c>
      <x:c r="J39" s="8" t="str"/>
      <x:c r="K39" s="8" t="str"/>
    </x:row>
    <x:row r="40" ht="22" customHeight="1">
      <x:c r="A40" s="8" t="str">
        <x:v>GR-039</x:v>
      </x:c>
      <x:c r="B40" s="8" t="str">
        <x:v>Fixpoint &amp; rules</x:v>
      </x:c>
      <x:c r="C40" s="8" t="str">
        <x:v>Stable/delta/new relation lifecycle</x:v>
      </x:c>
      <x:c r="D40" s="8" t="str">
        <x:v>Required</x:v>
      </x:c>
      <x:c r="E40" s="8" t="str">
        <x:v>P0</x:v>
      </x:c>
      <x:c r="F40" s="8" t="str">
        <x:v>Native</x:v>
      </x:c>
      <x:c r="G40" s="8" t="str">
        <x:v>Swap iteration generations with exact dedup and snapshot isolation.</x:v>
      </x:c>
      <x:c r="H40" s="8" t="str">
        <x:v>https://raw.githubusercontent.com/mylonasc/gestaltdb/main/src/gestaltdb/graphdb.py</x:v>
      </x:c>
      <x:c r="I40" s="8" t="str">
        <x:v>Proposed audit; verify with tests before changing status.</x:v>
      </x:c>
      <x:c r="J40" s="8" t="str"/>
      <x:c r="K40" s="8" t="str"/>
    </x:row>
    <x:row r="41" ht="22" customHeight="1">
      <x:c r="A41" s="8" t="str">
        <x:v>GR-040</x:v>
      </x:c>
      <x:c r="B41" s="8" t="str">
        <x:v>Fixpoint &amp; rules</x:v>
      </x:c>
      <x:c r="C41" s="8" t="str">
        <x:v>Rule dependency graph</x:v>
      </x:c>
      <x:c r="D41" s="8" t="str">
        <x:v>Partial</x:v>
      </x:c>
      <x:c r="E41" s="8" t="str">
        <x:v>P0</x:v>
      </x:c>
      <x:c r="F41" s="8" t="str">
        <x:v>Planner</x:v>
      </x:c>
      <x:c r="G41" s="8" t="str">
        <x:v>Track positive/negative dependencies by predicate.</x:v>
      </x:c>
      <x:c r="H41" s="8" t="str">
        <x:v>https://raw.githubusercontent.com/mylonasc/gestaltdb/main/src/gestaltdb/graphdb.py</x:v>
      </x:c>
      <x:c r="I41" s="8" t="str">
        <x:v>Proposed audit; verify with tests before changing status.</x:v>
      </x:c>
      <x:c r="J41" s="8" t="str"/>
      <x:c r="K41" s="8" t="str"/>
    </x:row>
    <x:row r="42" ht="22" customHeight="1">
      <x:c r="A42" s="8" t="str">
        <x:v>GR-041</x:v>
      </x:c>
      <x:c r="B42" s="8" t="str">
        <x:v>Fixpoint &amp; rules</x:v>
      </x:c>
      <x:c r="C42" s="8" t="str">
        <x:v>SCC and stratum scheduling</x:v>
      </x:c>
      <x:c r="D42" s="8" t="str">
        <x:v>Required</x:v>
      </x:c>
      <x:c r="E42" s="8" t="str">
        <x:v>P0</x:v>
      </x:c>
      <x:c r="F42" s="8" t="str">
        <x:v>Planner</x:v>
      </x:c>
      <x:c r="G42" s="8" t="str">
        <x:v>Evaluate recursive SCCs and reject unstratifiable negation.</x:v>
      </x:c>
      <x:c r="H42" s="8" t="str">
        <x:v>https://raw.githubusercontent.com/mylonasc/gestaltdb/main/src/gestaltdb/graphdb.py</x:v>
      </x:c>
      <x:c r="I42" s="8" t="str">
        <x:v>Proposed audit; verify with tests before changing status.</x:v>
      </x:c>
      <x:c r="J42" s="8" t="str"/>
      <x:c r="K42" s="8" t="str"/>
    </x:row>
    <x:row r="43" ht="22" customHeight="1">
      <x:c r="A43" s="8" t="str">
        <x:v>GR-042</x:v>
      </x:c>
      <x:c r="B43" s="8" t="str">
        <x:v>Fixpoint &amp; rules</x:v>
      </x:c>
      <x:c r="C43" s="8" t="str">
        <x:v>Rule IR compilation</x:v>
      </x:c>
      <x:c r="D43" s="8" t="str">
        <x:v>Required</x:v>
      </x:c>
      <x:c r="E43" s="8" t="str">
        <x:v>P0</x:v>
      </x:c>
      <x:c r="F43" s="8" t="str">
        <x:v>Planner/native</x:v>
      </x:c>
      <x:c r="G43" s="8" t="str">
        <x:v>Compile validated rules into reusable relation operator graph.</x:v>
      </x:c>
      <x:c r="H43" s="8" t="str">
        <x:v>https://raw.githubusercontent.com/mylonasc/gestaltdb/main/src/gestaltdb/graphdb.py</x:v>
      </x:c>
      <x:c r="I43" s="8" t="str">
        <x:v>Proposed audit; verify with tests before changing status.</x:v>
      </x:c>
      <x:c r="J43" s="8" t="str"/>
      <x:c r="K43" s="8" t="str"/>
    </x:row>
    <x:row r="44" ht="22" customHeight="1">
      <x:c r="A44" s="8" t="str">
        <x:v>GR-043</x:v>
      </x:c>
      <x:c r="B44" s="8" t="str">
        <x:v>Fixpoint &amp; rules</x:v>
      </x:c>
      <x:c r="C44" s="8" t="str">
        <x:v>Typed term normalization</x:v>
      </x:c>
      <x:c r="D44" s="8" t="str">
        <x:v>Partial</x:v>
      </x:c>
      <x:c r="E44" s="8" t="str">
        <x:v>P1</x:v>
      </x:c>
      <x:c r="F44" s="8" t="str">
        <x:v>IR</x:v>
      </x:c>
      <x:c r="G44" s="8" t="str">
        <x:v>Canonical constants/variables/literals/structured terms.</x:v>
      </x:c>
      <x:c r="H44" s="8" t="str">
        <x:v>https://raw.githubusercontent.com/mylonasc/gestaltdb/main/src/gestaltdb/graphdb.py</x:v>
      </x:c>
      <x:c r="I44" s="8" t="str">
        <x:v>Proposed audit; verify with tests before changing status.</x:v>
      </x:c>
      <x:c r="J44" s="8" t="str"/>
      <x:c r="K44" s="8" t="str"/>
    </x:row>
    <x:row r="45" ht="22" customHeight="1">
      <x:c r="A45" s="8" t="str">
        <x:v>GR-044</x:v>
      </x:c>
      <x:c r="B45" s="8" t="str">
        <x:v>Fixpoint &amp; rules</x:v>
      </x:c>
      <x:c r="C45" s="8" t="str">
        <x:v>Stratified negation</x:v>
      </x:c>
      <x:c r="D45" s="8" t="str">
        <x:v>Required</x:v>
      </x:c>
      <x:c r="E45" s="8" t="str">
        <x:v>P1</x:v>
      </x:c>
      <x:c r="F45" s="8" t="str">
        <x:v>Planner/native</x:v>
      </x:c>
      <x:c r="G45" s="8" t="str">
        <x:v>Negative dependency only to prior strata.</x:v>
      </x:c>
      <x:c r="H45" s="8" t="str">
        <x:v>https://raw.githubusercontent.com/mylonasc/gestaltdb/main/src/gestaltdb/graphdb.py</x:v>
      </x:c>
      <x:c r="I45" s="8" t="str">
        <x:v>Proposed audit; verify with tests before changing status.</x:v>
      </x:c>
      <x:c r="J45" s="8" t="str"/>
      <x:c r="K45" s="8" t="str"/>
    </x:row>
    <x:row r="46" ht="22" customHeight="1">
      <x:c r="A46" s="8" t="str">
        <x:v>GR-045</x:v>
      </x:c>
      <x:c r="B46" s="8" t="str">
        <x:v>Fixpoint &amp; rules</x:v>
      </x:c>
      <x:c r="C46" s="8" t="str">
        <x:v>Safe recursive aggregates</x:v>
      </x:c>
      <x:c r="D46" s="8" t="str">
        <x:v>Required</x:v>
      </x:c>
      <x:c r="E46" s="8" t="str">
        <x:v>P2</x:v>
      </x:c>
      <x:c r="F46" s="8" t="str">
        <x:v>Planner/native</x:v>
      </x:c>
      <x:c r="G46" s="8" t="str">
        <x:v>Use monotone/lattice aggregations or stratification.</x:v>
      </x:c>
      <x:c r="H46" s="8" t="str">
        <x:v>https://raw.githubusercontent.com/mylonasc/gestaltdb/main/src/gestaltdb/graphdb.py</x:v>
      </x:c>
      <x:c r="I46" s="8" t="str">
        <x:v>Proposed audit; verify with tests before changing status.</x:v>
      </x:c>
      <x:c r="J46" s="8" t="str"/>
      <x:c r="K46" s="8" t="str"/>
    </x:row>
    <x:row r="47" ht="22" customHeight="1">
      <x:c r="A47" s="8" t="str">
        <x:v>GR-046</x:v>
      </x:c>
      <x:c r="B47" s="8" t="str">
        <x:v>Fixpoint &amp; rules</x:v>
      </x:c>
      <x:c r="C47" s="8" t="str">
        <x:v>Existential witnesses (bounded)</x:v>
      </x:c>
      <x:c r="D47" s="8" t="str">
        <x:v>Required</x:v>
      </x:c>
      <x:c r="E47" s="8" t="str">
        <x:v>P2</x:v>
      </x:c>
      <x:c r="F47" s="8" t="str">
        <x:v>IR/native</x:v>
      </x:c>
      <x:c r="G47" s="8" t="str">
        <x:v>Chase with termination strategy, witness identity and budgets.</x:v>
      </x:c>
      <x:c r="H47" s="8" t="str">
        <x:v>https://raw.githubusercontent.com/mylonasc/gestaltdb/main/src/gestaltdb/graphdb.py</x:v>
      </x:c>
      <x:c r="I47" s="8" t="str">
        <x:v>Proposed audit; verify with tests before changing status.</x:v>
      </x:c>
      <x:c r="J47" s="8" t="str"/>
      <x:c r="K47" s="8" t="str"/>
    </x:row>
    <x:row r="48" ht="22" customHeight="1">
      <x:c r="A48" s="8" t="str">
        <x:v>GR-047</x:v>
      </x:c>
      <x:c r="B48" s="8" t="str">
        <x:v>Fixpoint &amp; rules</x:v>
      </x:c>
      <x:c r="C48" s="8" t="str">
        <x:v>Goal-directed evaluation</x:v>
      </x:c>
      <x:c r="D48" s="8" t="str">
        <x:v>Required</x:v>
      </x:c>
      <x:c r="E48" s="8" t="str">
        <x:v>P2</x:v>
      </x:c>
      <x:c r="F48" s="8" t="str">
        <x:v>Planner</x:v>
      </x:c>
      <x:c r="G48" s="8" t="str">
        <x:v>Answer bound questions without total closure.</x:v>
      </x:c>
      <x:c r="H48" s="8" t="str">
        <x:v>https://raw.githubusercontent.com/mylonasc/gestaltdb/main/src/gestaltdb/graphdb.py</x:v>
      </x:c>
      <x:c r="I48" s="8" t="str">
        <x:v>Proposed audit; verify with tests before changing status.</x:v>
      </x:c>
      <x:c r="J48" s="8" t="str"/>
      <x:c r="K48" s="8" t="str"/>
    </x:row>
    <x:row r="49" ht="22" customHeight="1">
      <x:c r="A49" s="8" t="str">
        <x:v>GR-048</x:v>
      </x:c>
      <x:c r="B49" s="8" t="str">
        <x:v>Fixpoint &amp; rules</x:v>
      </x:c>
      <x:c r="C49" s="8" t="str">
        <x:v>Magic set/demand rewriting</x:v>
      </x:c>
      <x:c r="D49" s="8" t="str">
        <x:v>Required</x:v>
      </x:c>
      <x:c r="E49" s="8" t="str">
        <x:v>P2</x:v>
      </x:c>
      <x:c r="F49" s="8" t="str">
        <x:v>Planner</x:v>
      </x:c>
      <x:c r="G49" s="8" t="str">
        <x:v>Specialize recursive derivation to query bindings.</x:v>
      </x:c>
      <x:c r="H49" s="8" t="str">
        <x:v>https://raw.githubusercontent.com/mylonasc/gestaltdb/main/src/gestaltdb/graphdb.py</x:v>
      </x:c>
      <x:c r="I49" s="8" t="str">
        <x:v>Proposed audit; verify with tests before changing status.</x:v>
      </x:c>
      <x:c r="J49" s="8" t="str"/>
      <x:c r="K49" s="8" t="str"/>
    </x:row>
    <x:row r="50" ht="22" customHeight="1">
      <x:c r="A50" s="8" t="str">
        <x:v>GR-049</x:v>
      </x:c>
      <x:c r="B50" s="8" t="str">
        <x:v>Fixpoint &amp; rules</x:v>
      </x:c>
      <x:c r="C50" s="8" t="str">
        <x:v>Parallel rule execution</x:v>
      </x:c>
      <x:c r="D50" s="8" t="str">
        <x:v>Required</x:v>
      </x:c>
      <x:c r="E50" s="8" t="str">
        <x:v>P1</x:v>
      </x:c>
      <x:c r="F50" s="8" t="str">
        <x:v>Native</x:v>
      </x:c>
      <x:c r="G50" s="8" t="str">
        <x:v>Partition work with deterministic equivalence to serial results.</x:v>
      </x:c>
      <x:c r="H50" s="8" t="str">
        <x:v>https://raw.githubusercontent.com/mylonasc/gestaltdb/main/src/gestaltdb/graphdb.py</x:v>
      </x:c>
      <x:c r="I50" s="8" t="str">
        <x:v>Proposed audit; verify with tests before changing status.</x:v>
      </x:c>
      <x:c r="J50" s="8" t="str"/>
      <x:c r="K50" s="8" t="str"/>
    </x:row>
    <x:row r="51" ht="22" customHeight="1">
      <x:c r="A51" s="8" t="str">
        <x:v>GR-050</x:v>
      </x:c>
      <x:c r="B51" s="8" t="str">
        <x:v>Fixpoint &amp; rules</x:v>
      </x:c>
      <x:c r="C51" s="8" t="str">
        <x:v>Work-queue-driven inference</x:v>
      </x:c>
      <x:c r="D51" s="8" t="str">
        <x:v>Required</x:v>
      </x:c>
      <x:c r="E51" s="8" t="str">
        <x:v>P1</x:v>
      </x:c>
      <x:c r="F51" s="8" t="str">
        <x:v>Native</x:v>
      </x:c>
      <x:c r="G51" s="8" t="str">
        <x:v>Schedule affected predicates rather than polling all rules.</x:v>
      </x:c>
      <x:c r="H51" s="8" t="str">
        <x:v>https://raw.githubusercontent.com/mylonasc/gestaltdb/main/src/gestaltdb/graphdb.py</x:v>
      </x:c>
      <x:c r="I51" s="8" t="str">
        <x:v>Proposed audit; verify with tests before changing status.</x:v>
      </x:c>
      <x:c r="J51" s="8" t="str"/>
      <x:c r="K51" s="8" t="str"/>
    </x:row>
    <x:row r="52" ht="22" customHeight="1">
      <x:c r="A52" s="8" t="str">
        <x:v>GR-051</x:v>
      </x:c>
      <x:c r="B52" s="8" t="str">
        <x:v>Fixpoint &amp; rules</x:v>
      </x:c>
      <x:c r="C52" s="8" t="str">
        <x:v>Multi-head normalization</x:v>
      </x:c>
      <x:c r="D52" s="8" t="str">
        <x:v>Required</x:v>
      </x:c>
      <x:c r="E52" s="8" t="str">
        <x:v>P2</x:v>
      </x:c>
      <x:c r="F52" s="8" t="str">
        <x:v>IR</x:v>
      </x:c>
      <x:c r="G52" s="8" t="str">
        <x:v>Convert multi-head rules into equivalent single-head plans.</x:v>
      </x:c>
      <x:c r="H52" s="8" t="str">
        <x:v>https://raw.githubusercontent.com/mylonasc/gestaltdb/main/src/gestaltdb/graphdb.py</x:v>
      </x:c>
      <x:c r="I52" s="8" t="str">
        <x:v>Proposed audit; verify with tests before changing status.</x:v>
      </x:c>
      <x:c r="J52" s="8" t="str"/>
      <x:c r="K52" s="8" t="str"/>
    </x:row>
    <x:row r="53" ht="22" customHeight="1">
      <x:c r="A53" s="8" t="str">
        <x:v>GR-052</x:v>
      </x:c>
      <x:c r="B53" s="8" t="str">
        <x:v>Ontology axioms</x:v>
      </x:c>
      <x:c r="C53" s="8" t="str">
        <x:v>Class assertions</x:v>
      </x:c>
      <x:c r="D53" s="8" t="str">
        <x:v>Partial</x:v>
      </x:c>
      <x:c r="E53" s="8" t="str">
        <x:v>P0</x:v>
      </x:c>
      <x:c r="F53" s="8" t="str">
        <x:v>Compiler</x:v>
      </x:c>
      <x:c r="G53" s="8" t="str">
        <x:v>Normalize class membership to typed internal facts.</x:v>
      </x:c>
      <x:c r="H53" s="8" t="str">
        <x:v>https://www.w3.org/TR/owl2-profiles/</x:v>
      </x:c>
      <x:c r="I53" s="8" t="str">
        <x:v>Proposed audit; verify with tests before changing status.</x:v>
      </x:c>
      <x:c r="J53" s="8" t="str"/>
      <x:c r="K53" s="8" t="str"/>
    </x:row>
    <x:row r="54" ht="22" customHeight="1">
      <x:c r="A54" s="8" t="str">
        <x:v>GR-053</x:v>
      </x:c>
      <x:c r="B54" s="8" t="str">
        <x:v>Ontology axioms</x:v>
      </x:c>
      <x:c r="C54" s="8" t="str">
        <x:v>Subclass closure</x:v>
      </x:c>
      <x:c r="D54" s="8" t="str">
        <x:v>Partial</x:v>
      </x:c>
      <x:c r="E54" s="8" t="str">
        <x:v>P1</x:v>
      </x:c>
      <x:c r="F54" s="8" t="str">
        <x:v>Compiler/native</x:v>
      </x:c>
      <x:c r="G54" s="8" t="str">
        <x:v>Transitive inheritance with recursive hierarchy.</x:v>
      </x:c>
      <x:c r="H54" s="8" t="str">
        <x:v>https://www.w3.org/TR/owl2-profiles/</x:v>
      </x:c>
      <x:c r="I54" s="8" t="str">
        <x:v>Proposed audit; verify with tests before changing status.</x:v>
      </x:c>
      <x:c r="J54" s="8" t="str"/>
      <x:c r="K54" s="8" t="str"/>
    </x:row>
    <x:row r="55" ht="22" customHeight="1">
      <x:c r="A55" s="8" t="str">
        <x:v>GR-054</x:v>
      </x:c>
      <x:c r="B55" s="8" t="str">
        <x:v>Ontology axioms</x:v>
      </x:c>
      <x:c r="C55" s="8" t="str">
        <x:v>Subproperty closure</x:v>
      </x:c>
      <x:c r="D55" s="8" t="str">
        <x:v>Partial</x:v>
      </x:c>
      <x:c r="E55" s="8" t="str">
        <x:v>P1</x:v>
      </x:c>
      <x:c r="F55" s="8" t="str">
        <x:v>Compiler/native</x:v>
      </x:c>
      <x:c r="G55" s="8" t="str">
        <x:v>Propagate relation assertions across property hierarchy.</x:v>
      </x:c>
      <x:c r="H55" s="8" t="str">
        <x:v>https://www.w3.org/TR/owl2-profiles/</x:v>
      </x:c>
      <x:c r="I55" s="8" t="str">
        <x:v>Proposed audit; verify with tests before changing status.</x:v>
      </x:c>
      <x:c r="J55" s="8" t="str"/>
      <x:c r="K55" s="8" t="str"/>
    </x:row>
    <x:row r="56" ht="22" customHeight="1">
      <x:c r="A56" s="8" t="str">
        <x:v>GR-055</x:v>
      </x:c>
      <x:c r="B56" s="8" t="str">
        <x:v>Ontology axioms</x:v>
      </x:c>
      <x:c r="C56" s="8" t="str">
        <x:v>Domain &amp; range</x:v>
      </x:c>
      <x:c r="D56" s="8" t="str">
        <x:v>Partial</x:v>
      </x:c>
      <x:c r="E56" s="8" t="str">
        <x:v>P1</x:v>
      </x:c>
      <x:c r="F56" s="8" t="str">
        <x:v>Compiler</x:v>
      </x:c>
      <x:c r="G56" s="8" t="str">
        <x:v>Infer types from relation subject/object.</x:v>
      </x:c>
      <x:c r="H56" s="8" t="str">
        <x:v>https://www.w3.org/TR/owl2-profiles/</x:v>
      </x:c>
      <x:c r="I56" s="8" t="str">
        <x:v>Proposed audit; verify with tests before changing status.</x:v>
      </x:c>
      <x:c r="J56" s="8" t="str"/>
      <x:c r="K56" s="8" t="str"/>
    </x:row>
    <x:row r="57" ht="22" customHeight="1">
      <x:c r="A57" s="8" t="str">
        <x:v>GR-056</x:v>
      </x:c>
      <x:c r="B57" s="8" t="str">
        <x:v>Ontology axioms</x:v>
      </x:c>
      <x:c r="C57" s="8" t="str">
        <x:v>Inverse &amp; symmetric</x:v>
      </x:c>
      <x:c r="D57" s="8" t="str">
        <x:v>Partial</x:v>
      </x:c>
      <x:c r="E57" s="8" t="str">
        <x:v>P1</x:v>
      </x:c>
      <x:c r="F57" s="8" t="str">
        <x:v>Compiler</x:v>
      </x:c>
      <x:c r="G57" s="8" t="str">
        <x:v>Generate converse relation facts correctly.</x:v>
      </x:c>
      <x:c r="H57" s="8" t="str">
        <x:v>https://www.w3.org/TR/owl2-profiles/</x:v>
      </x:c>
      <x:c r="I57" s="8" t="str">
        <x:v>Proposed audit; verify with tests before changing status.</x:v>
      </x:c>
      <x:c r="J57" s="8" t="str"/>
      <x:c r="K57" s="8" t="str"/>
    </x:row>
    <x:row r="58" ht="22" customHeight="1">
      <x:c r="A58" s="8" t="str">
        <x:v>GR-057</x:v>
      </x:c>
      <x:c r="B58" s="8" t="str">
        <x:v>Ontology axioms</x:v>
      </x:c>
      <x:c r="C58" s="8" t="str">
        <x:v>Transitive relationships</x:v>
      </x:c>
      <x:c r="D58" s="8" t="str">
        <x:v>Partial</x:v>
      </x:c>
      <x:c r="E58" s="8" t="str">
        <x:v>P1</x:v>
      </x:c>
      <x:c r="F58" s="8" t="str">
        <x:v>Compiler/native</x:v>
      </x:c>
      <x:c r="G58" s="8" t="str">
        <x:v>Reach closure without unbounded Python nested loops.</x:v>
      </x:c>
      <x:c r="H58" s="8" t="str">
        <x:v>https://www.w3.org/TR/owl2-profiles/</x:v>
      </x:c>
      <x:c r="I58" s="8" t="str">
        <x:v>Proposed audit; verify with tests before changing status.</x:v>
      </x:c>
      <x:c r="J58" s="8" t="str"/>
      <x:c r="K58" s="8" t="str"/>
    </x:row>
    <x:row r="59" ht="22" customHeight="1">
      <x:c r="A59" s="8" t="str">
        <x:v>GR-058</x:v>
      </x:c>
      <x:c r="B59" s="8" t="str">
        <x:v>Ontology axioms</x:v>
      </x:c>
      <x:c r="C59" s="8" t="str">
        <x:v>Reflexive/irreflexive</x:v>
      </x:c>
      <x:c r="D59" s="8" t="str">
        <x:v>Partial</x:v>
      </x:c>
      <x:c r="E59" s="8" t="str">
        <x:v>P1</x:v>
      </x:c>
      <x:c r="F59" s="8" t="str">
        <x:v>Compiler</x:v>
      </x:c>
      <x:c r="G59" s="8" t="str">
        <x:v>Implement declared scope and report violations.</x:v>
      </x:c>
      <x:c r="H59" s="8" t="str">
        <x:v>https://www.w3.org/TR/owl2-profiles/</x:v>
      </x:c>
      <x:c r="I59" s="8" t="str">
        <x:v>Proposed audit; verify with tests before changing status.</x:v>
      </x:c>
      <x:c r="J59" s="8" t="str"/>
      <x:c r="K59" s="8" t="str"/>
    </x:row>
    <x:row r="60" ht="22" customHeight="1">
      <x:c r="A60" s="8" t="str">
        <x:v>GR-059</x:v>
      </x:c>
      <x:c r="B60" s="8" t="str">
        <x:v>Ontology axioms</x:v>
      </x:c>
      <x:c r="C60" s="8" t="str">
        <x:v>Equivalent classes/properties</x:v>
      </x:c>
      <x:c r="D60" s="8" t="str">
        <x:v>Partial</x:v>
      </x:c>
      <x:c r="E60" s="8" t="str">
        <x:v>P1</x:v>
      </x:c>
      <x:c r="F60" s="8" t="str">
        <x:v>Compiler</x:v>
      </x:c>
      <x:c r="G60" s="8" t="str">
        <x:v>Compile equivalence to bidirectional entailments.</x:v>
      </x:c>
      <x:c r="H60" s="8" t="str">
        <x:v>https://www.w3.org/TR/owl2-profiles/</x:v>
      </x:c>
      <x:c r="I60" s="8" t="str">
        <x:v>Proposed audit; verify with tests before changing status.</x:v>
      </x:c>
      <x:c r="J60" s="8" t="str"/>
      <x:c r="K60" s="8" t="str"/>
    </x:row>
    <x:row r="61" ht="22" customHeight="1">
      <x:c r="A61" s="8" t="str">
        <x:v>GR-060</x:v>
      </x:c>
      <x:c r="B61" s="8" t="str">
        <x:v>Ontology axioms</x:v>
      </x:c>
      <x:c r="C61" s="8" t="str">
        <x:v>Property chains</x:v>
      </x:c>
      <x:c r="D61" s="8" t="str">
        <x:v>Partial</x:v>
      </x:c>
      <x:c r="E61" s="8" t="str">
        <x:v>P1</x:v>
      </x:c>
      <x:c r="F61" s="8" t="str">
        <x:v>Compiler/native</x:v>
      </x:c>
      <x:c r="G61" s="8" t="str">
        <x:v>Join role chains and project consequence.</x:v>
      </x:c>
      <x:c r="H61" s="8" t="str">
        <x:v>https://www.w3.org/TR/owl2-profiles/</x:v>
      </x:c>
      <x:c r="I61" s="8" t="str">
        <x:v>Proposed audit; verify with tests before changing status.</x:v>
      </x:c>
      <x:c r="J61" s="8" t="str"/>
      <x:c r="K61" s="8" t="str"/>
    </x:row>
    <x:row r="62" ht="22" customHeight="1">
      <x:c r="A62" s="8" t="str">
        <x:v>GR-061</x:v>
      </x:c>
      <x:c r="B62" s="8" t="str">
        <x:v>Ontology axioms</x:v>
      </x:c>
      <x:c r="C62" s="8" t="str">
        <x:v>Disjoint classes/properties</x:v>
      </x:c>
      <x:c r="D62" s="8" t="str">
        <x:v>Required</x:v>
      </x:c>
      <x:c r="E62" s="8" t="str">
        <x:v>P1</x:v>
      </x:c>
      <x:c r="F62" s="8" t="str">
        <x:v>Constraints</x:v>
      </x:c>
      <x:c r="G62" s="8" t="str">
        <x:v>Emit evidence-bearing conflicts instead of silent arbitrary truth.</x:v>
      </x:c>
      <x:c r="H62" s="8" t="str">
        <x:v>https://www.w3.org/TR/owl2-profiles/</x:v>
      </x:c>
      <x:c r="I62" s="8" t="str">
        <x:v>Proposed audit; verify with tests before changing status.</x:v>
      </x:c>
      <x:c r="J62" s="8" t="str"/>
      <x:c r="K62" s="8" t="str"/>
    </x:row>
    <x:row r="63" ht="22" customHeight="1">
      <x:c r="A63" s="8" t="str">
        <x:v>GR-062</x:v>
      </x:c>
      <x:c r="B63" s="8" t="str">
        <x:v>Ontology axioms</x:v>
      </x:c>
      <x:c r="C63" s="8" t="str">
        <x:v>sameAs / differentFrom</x:v>
      </x:c>
      <x:c r="D63" s="8" t="str">
        <x:v>Required</x:v>
      </x:c>
      <x:c r="E63" s="8" t="str">
        <x:v>P1</x:v>
      </x:c>
      <x:c r="F63" s="8" t="str">
        <x:v>Semantics/native</x:v>
      </x:c>
      <x:c r="G63" s="8" t="str">
        <x:v>Detect equalities, inequalities and contradictions.</x:v>
      </x:c>
      <x:c r="H63" s="8" t="str">
        <x:v>https://www.w3.org/TR/owl2-profiles/</x:v>
      </x:c>
      <x:c r="I63" s="8" t="str">
        <x:v>Proposed audit; verify with tests before changing status.</x:v>
      </x:c>
      <x:c r="J63" s="8" t="str"/>
      <x:c r="K63" s="8" t="str"/>
    </x:row>
    <x:row r="64" ht="22" customHeight="1">
      <x:c r="A64" s="8" t="str">
        <x:v>GR-063</x:v>
      </x:c>
      <x:c r="B64" s="8" t="str">
        <x:v>Ontology axioms</x:v>
      </x:c>
      <x:c r="C64" s="8" t="str">
        <x:v>Functional/inverse functional</x:v>
      </x:c>
      <x:c r="D64" s="8" t="str">
        <x:v>Required</x:v>
      </x:c>
      <x:c r="E64" s="8" t="str">
        <x:v>P1</x:v>
      </x:c>
      <x:c r="F64" s="8" t="str">
        <x:v>Compiler/constraints</x:v>
      </x:c>
      <x:c r="G64" s="8" t="str">
        <x:v>Apply equality or violation according to selected semantics.</x:v>
      </x:c>
      <x:c r="H64" s="8" t="str">
        <x:v>https://www.w3.org/TR/owl2-profiles/</x:v>
      </x:c>
      <x:c r="I64" s="8" t="str">
        <x:v>Proposed audit; verify with tests before changing status.</x:v>
      </x:c>
      <x:c r="J64" s="8" t="str"/>
      <x:c r="K64" s="8" t="str"/>
    </x:row>
    <x:row r="65" ht="22" customHeight="1">
      <x:c r="A65" s="8" t="str">
        <x:v>GR-064</x:v>
      </x:c>
      <x:c r="B65" s="8" t="str">
        <x:v>Ontology axioms</x:v>
      </x:c>
      <x:c r="C65" s="8" t="str">
        <x:v>Intersection/union class expressions</x:v>
      </x:c>
      <x:c r="D65" s="8" t="str">
        <x:v>Partial</x:v>
      </x:c>
      <x:c r="E65" s="8" t="str">
        <x:v>P1</x:v>
      </x:c>
      <x:c r="F65" s="8" t="str">
        <x:v>Compiler</x:v>
      </x:c>
      <x:c r="G65" s="8" t="str">
        <x:v>Infer membership using normalized Boolean class expressions.</x:v>
      </x:c>
      <x:c r="H65" s="8" t="str">
        <x:v>https://www.w3.org/TR/owl2-profiles/</x:v>
      </x:c>
      <x:c r="I65" s="8" t="str">
        <x:v>Proposed audit; verify with tests before changing status.</x:v>
      </x:c>
      <x:c r="J65" s="8" t="str"/>
      <x:c r="K65" s="8" t="str"/>
    </x:row>
    <x:row r="66" ht="22" customHeight="1">
      <x:c r="A66" s="8" t="str">
        <x:v>GR-065</x:v>
      </x:c>
      <x:c r="B66" s="8" t="str">
        <x:v>Ontology axioms</x:v>
      </x:c>
      <x:c r="C66" s="8" t="str">
        <x:v>Complement class expressions</x:v>
      </x:c>
      <x:c r="D66" s="8" t="str">
        <x:v>Required</x:v>
      </x:c>
      <x:c r="E66" s="8" t="str">
        <x:v>P2</x:v>
      </x:c>
      <x:c r="F66" s="8" t="str">
        <x:v>Compiler</x:v>
      </x:c>
      <x:c r="G66" s="8" t="str">
        <x:v>Handle profile-allowed negation precisely.</x:v>
      </x:c>
      <x:c r="H66" s="8" t="str">
        <x:v>https://www.w3.org/TR/owl2-profiles/</x:v>
      </x:c>
      <x:c r="I66" s="8" t="str">
        <x:v>Proposed audit; verify with tests before changing status.</x:v>
      </x:c>
      <x:c r="J66" s="8" t="str"/>
      <x:c r="K66" s="8" t="str"/>
    </x:row>
    <x:row r="67" ht="22" customHeight="1">
      <x:c r="A67" s="8" t="str">
        <x:v>GR-066</x:v>
      </x:c>
      <x:c r="B67" s="8" t="str">
        <x:v>Ontology axioms</x:v>
      </x:c>
      <x:c r="C67" s="8" t="str">
        <x:v>Existential class restrictions</x:v>
      </x:c>
      <x:c r="D67" s="8" t="str">
        <x:v>Required</x:v>
      </x:c>
      <x:c r="E67" s="8" t="str">
        <x:v>P2</x:v>
      </x:c>
      <x:c r="F67" s="8" t="str">
        <x:v>Compiler/native</x:v>
      </x:c>
      <x:c r="G67" s="8" t="str">
        <x:v>Handle exists restrictions or produce bounded anonymous witnesses.</x:v>
      </x:c>
      <x:c r="H67" s="8" t="str">
        <x:v>https://www.w3.org/TR/owl2-profiles/</x:v>
      </x:c>
      <x:c r="I67" s="8" t="str">
        <x:v>Proposed audit; verify with tests before changing status.</x:v>
      </x:c>
      <x:c r="J67" s="8" t="str"/>
      <x:c r="K67" s="8" t="str"/>
    </x:row>
    <x:row r="68" ht="22" customHeight="1">
      <x:c r="A68" s="8" t="str">
        <x:v>GR-067</x:v>
      </x:c>
      <x:c r="B68" s="8" t="str">
        <x:v>Ontology axioms</x:v>
      </x:c>
      <x:c r="C68" s="8" t="str">
        <x:v>Universal class restrictions</x:v>
      </x:c>
      <x:c r="D68" s="8" t="str">
        <x:v>Required</x:v>
      </x:c>
      <x:c r="E68" s="8" t="str">
        <x:v>P2</x:v>
      </x:c>
      <x:c r="F68" s="8" t="str">
        <x:v>Compiler/native</x:v>
      </x:c>
      <x:c r="G68" s="8" t="str">
        <x:v>Propagate allValuesFrom restrictions.</x:v>
      </x:c>
      <x:c r="H68" s="8" t="str">
        <x:v>https://www.w3.org/TR/owl2-profiles/</x:v>
      </x:c>
      <x:c r="I68" s="8" t="str">
        <x:v>Proposed audit; verify with tests before changing status.</x:v>
      </x:c>
      <x:c r="J68" s="8" t="str"/>
      <x:c r="K68" s="8" t="str"/>
    </x:row>
    <x:row r="69" ht="22" customHeight="1">
      <x:c r="A69" s="8" t="str">
        <x:v>GR-068</x:v>
      </x:c>
      <x:c r="B69" s="8" t="str">
        <x:v>Ontology axioms</x:v>
      </x:c>
      <x:c r="C69" s="8" t="str">
        <x:v>Value/self restrictions</x:v>
      </x:c>
      <x:c r="D69" s="8" t="str">
        <x:v>Required</x:v>
      </x:c>
      <x:c r="E69" s="8" t="str">
        <x:v>P2</x:v>
      </x:c>
      <x:c r="F69" s="8" t="str">
        <x:v>Compiler</x:v>
      </x:c>
      <x:c r="G69" s="8" t="str">
        <x:v>Handle hasValue and hasSelf.</x:v>
      </x:c>
      <x:c r="H69" s="8" t="str">
        <x:v>https://www.w3.org/TR/owl2-profiles/</x:v>
      </x:c>
      <x:c r="I69" s="8" t="str">
        <x:v>Proposed audit; verify with tests before changing status.</x:v>
      </x:c>
      <x:c r="J69" s="8" t="str"/>
      <x:c r="K69" s="8" t="str"/>
    </x:row>
    <x:row r="70" ht="22" customHeight="1">
      <x:c r="A70" s="8" t="str">
        <x:v>GR-069</x:v>
      </x:c>
      <x:c r="B70" s="8" t="str">
        <x:v>Ontology axioms</x:v>
      </x:c>
      <x:c r="C70" s="8" t="str">
        <x:v>Cardinality constraints</x:v>
      </x:c>
      <x:c r="D70" s="8" t="str">
        <x:v>Required</x:v>
      </x:c>
      <x:c r="E70" s="8" t="str">
        <x:v>P2</x:v>
      </x:c>
      <x:c r="F70" s="8" t="str">
        <x:v>Compiler/constraints</x:v>
      </x:c>
      <x:c r="G70" s="8" t="str">
        <x:v>Compare normalized distinct fillers under equality.</x:v>
      </x:c>
      <x:c r="H70" s="8" t="str">
        <x:v>https://www.w3.org/TR/owl2-profiles/</x:v>
      </x:c>
      <x:c r="I70" s="8" t="str">
        <x:v>Proposed audit; verify with tests before changing status.</x:v>
      </x:c>
      <x:c r="J70" s="8" t="str"/>
      <x:c r="K70" s="8" t="str"/>
    </x:row>
    <x:row r="71" ht="22" customHeight="1">
      <x:c r="A71" s="8" t="str">
        <x:v>GR-070</x:v>
      </x:c>
      <x:c r="B71" s="8" t="str">
        <x:v>Ontology axioms</x:v>
      </x:c>
      <x:c r="C71" s="8" t="str">
        <x:v>HasKey identity</x:v>
      </x:c>
      <x:c r="D71" s="8" t="str">
        <x:v>Required</x:v>
      </x:c>
      <x:c r="E71" s="8" t="str">
        <x:v>P2</x:v>
      </x:c>
      <x:c r="F71" s="8" t="str">
        <x:v>Compiler/native</x:v>
      </x:c>
      <x:c r="G71" s="8" t="str">
        <x:v>Infer equality from property keys, no unique name assumption.</x:v>
      </x:c>
      <x:c r="H71" s="8" t="str">
        <x:v>https://www.w3.org/TR/owl2-profiles/</x:v>
      </x:c>
      <x:c r="I71" s="8" t="str">
        <x:v>Proposed audit; verify with tests before changing status.</x:v>
      </x:c>
      <x:c r="J71" s="8" t="str"/>
      <x:c r="K71" s="8" t="str"/>
    </x:row>
    <x:row r="72" ht="22" customHeight="1">
      <x:c r="A72" s="8" t="str">
        <x:v>GR-071</x:v>
      </x:c>
      <x:c r="B72" s="8" t="str">
        <x:v>Ontology axioms</x:v>
      </x:c>
      <x:c r="C72" s="8" t="str">
        <x:v>Ontology satisfiability</x:v>
      </x:c>
      <x:c r="D72" s="8" t="str">
        <x:v>Required</x:v>
      </x:c>
      <x:c r="E72" s="8" t="str">
        <x:v>P2</x:v>
      </x:c>
      <x:c r="F72" s="8" t="str">
        <x:v>Semantics</x:v>
      </x:c>
      <x:c r="G72" s="8" t="str">
        <x:v>Check unsatisfiable classes and inconsistent assertions.</x:v>
      </x:c>
      <x:c r="H72" s="8" t="str">
        <x:v>https://www.w3.org/TR/owl2-profiles/</x:v>
      </x:c>
      <x:c r="I72" s="8" t="str">
        <x:v>Proposed audit; verify with tests before changing status.</x:v>
      </x:c>
      <x:c r="J72" s="8" t="str"/>
      <x:c r="K72" s="8" t="str"/>
    </x:row>
    <x:row r="73" ht="22" customHeight="1">
      <x:c r="A73" s="8" t="str">
        <x:v>GR-072</x:v>
      </x:c>
      <x:c r="B73" s="8" t="str">
        <x:v>Ontology axioms</x:v>
      </x:c>
      <x:c r="C73" s="8" t="str">
        <x:v>Complete OWL2 DL reasoning</x:v>
      </x:c>
      <x:c r="D73" s="8" t="str">
        <x:v>Optional</x:v>
      </x:c>
      <x:c r="E73" s="8" t="str">
        <x:v>P3</x:v>
      </x:c>
      <x:c r="F73" s="8" t="str">
        <x:v>External/plugin</x:v>
      </x:c>
      <x:c r="G73" s="8" t="str">
        <x:v>Explicitly out-of-scope until an algorithmic decision.</x:v>
      </x:c>
      <x:c r="H73" s="8" t="str">
        <x:v>https://www.w3.org/TR/owl2-profiles/</x:v>
      </x:c>
      <x:c r="I73" s="8" t="str">
        <x:v>Proposed audit; verify with tests before changing status.</x:v>
      </x:c>
      <x:c r="J73" s="8" t="str"/>
      <x:c r="K73" s="8" t="str"/>
    </x:row>
    <x:row r="74" ht="22" customHeight="1">
      <x:c r="A74" s="8" t="str">
        <x:v>GR-073</x:v>
      </x:c>
      <x:c r="B74" s="8" t="str">
        <x:v>Incremental &amp; provenance</x:v>
      </x:c>
      <x:c r="C74" s="8" t="str">
        <x:v>Immutable rule justifications</x:v>
      </x:c>
      <x:c r="D74" s="8" t="str">
        <x:v>Available</x:v>
      </x:c>
      <x:c r="E74" s="8" t="str">
        <x:v>P0</x:v>
      </x:c>
      <x:c r="F74" s="8" t="str">
        <x:v>Python/RocksDB</x:v>
      </x:c>
      <x:c r="G74" s="8" t="str">
        <x:v>Store rule version and ordered premise version IDs.</x:v>
      </x:c>
      <x:c r="H74" s="8" t="str">
        <x:v>https://mylonasc.github.io/gestaltdb/temporal-versioning.html</x:v>
      </x:c>
      <x:c r="I74" s="8" t="str">
        <x:v>Proposed audit; verify with tests before changing status.</x:v>
      </x:c>
      <x:c r="J74" s="8" t="str"/>
      <x:c r="K74" s="8" t="str"/>
    </x:row>
    <x:row r="75" ht="22" customHeight="1">
      <x:c r="A75" s="8" t="str">
        <x:v>GR-074</x:v>
      </x:c>
      <x:c r="B75" s="8" t="str">
        <x:v>Incremental &amp; provenance</x:v>
      </x:c>
      <x:c r="C75" s="8" t="str">
        <x:v>Multiple independent supports</x:v>
      </x:c>
      <x:c r="D75" s="8" t="str">
        <x:v>Available</x:v>
      </x:c>
      <x:c r="E75" s="8" t="str">
        <x:v>P0</x:v>
      </x:c>
      <x:c r="F75" s="8" t="str">
        <x:v>Python</x:v>
      </x:c>
      <x:c r="G75" s="8" t="str">
        <x:v>One lost support does not retract still-supported conclusion.</x:v>
      </x:c>
      <x:c r="H75" s="8" t="str">
        <x:v>https://mylonasc.github.io/gestaltdb/temporal-versioning.html</x:v>
      </x:c>
      <x:c r="I75" s="8" t="str">
        <x:v>Proposed audit; verify with tests before changing status.</x:v>
      </x:c>
      <x:c r="J75" s="8" t="str"/>
      <x:c r="K75" s="8" t="str"/>
    </x:row>
    <x:row r="76" ht="22" customHeight="1">
      <x:c r="A76" s="8" t="str">
        <x:v>GR-075</x:v>
      </x:c>
      <x:c r="B76" s="8" t="str">
        <x:v>Incremental &amp; provenance</x:v>
      </x:c>
      <x:c r="C76" s="8" t="str">
        <x:v>Historical explanation graphs</x:v>
      </x:c>
      <x:c r="D76" s="8" t="str">
        <x:v>Available</x:v>
      </x:c>
      <x:c r="E76" s="8" t="str">
        <x:v>P0</x:v>
      </x:c>
      <x:c r="F76" s="8" t="str">
        <x:v>Python</x:v>
      </x:c>
      <x:c r="G76" s="8" t="str">
        <x:v>Reconstruct at pinned valid/system horizon.</x:v>
      </x:c>
      <x:c r="H76" s="8" t="str">
        <x:v>https://mylonasc.github.io/gestaltdb/temporal-versioning.html</x:v>
      </x:c>
      <x:c r="I76" s="8" t="str">
        <x:v>Proposed audit; verify with tests before changing status.</x:v>
      </x:c>
      <x:c r="J76" s="8" t="str"/>
      <x:c r="K76" s="8" t="str"/>
    </x:row>
    <x:row r="77" ht="22" customHeight="1">
      <x:c r="A77" s="8" t="str">
        <x:v>GR-076</x:v>
      </x:c>
      <x:c r="B77" s="8" t="str">
        <x:v>Incremental &amp; provenance</x:v>
      </x:c>
      <x:c r="C77" s="8" t="str">
        <x:v>Premise→conclusion dependencies</x:v>
      </x:c>
      <x:c r="D77" s="8" t="str">
        <x:v>Partial</x:v>
      </x:c>
      <x:c r="E77" s="8" t="str">
        <x:v>P0</x:v>
      </x:c>
      <x:c r="F77" s="8" t="str">
        <x:v>RocksDB</x:v>
      </x:c>
      <x:c r="G77" s="8" t="str">
        <x:v>Persist/rebuild reverse dependency relationships.</x:v>
      </x:c>
      <x:c r="H77" s="8" t="str">
        <x:v>https://mylonasc.github.io/gestaltdb/temporal-versioning.html</x:v>
      </x:c>
      <x:c r="I77" s="8" t="str">
        <x:v>Proposed audit; verify with tests before changing status.</x:v>
      </x:c>
      <x:c r="J77" s="8" t="str"/>
      <x:c r="K77" s="8" t="str"/>
    </x:row>
    <x:row r="78" ht="22" customHeight="1">
      <x:c r="A78" s="8" t="str">
        <x:v>GR-077</x:v>
      </x:c>
      <x:c r="B78" s="8" t="str">
        <x:v>Incremental &amp; provenance</x:v>
      </x:c>
      <x:c r="C78" s="8" t="str">
        <x:v>Rule→conclusion dependencies</x:v>
      </x:c>
      <x:c r="D78" s="8" t="str">
        <x:v>Partial</x:v>
      </x:c>
      <x:c r="E78" s="8" t="str">
        <x:v>P0</x:v>
      </x:c>
      <x:c r="F78" s="8" t="str">
        <x:v>RocksDB</x:v>
      </x:c>
      <x:c r="G78" s="8" t="str">
        <x:v>Identify derivations affected by rule redefinition.</x:v>
      </x:c>
      <x:c r="H78" s="8" t="str">
        <x:v>https://mylonasc.github.io/gestaltdb/temporal-versioning.html</x:v>
      </x:c>
      <x:c r="I78" s="8" t="str">
        <x:v>Proposed audit; verify with tests before changing status.</x:v>
      </x:c>
      <x:c r="J78" s="8" t="str"/>
      <x:c r="K78" s="8" t="str"/>
    </x:row>
    <x:row r="79" ht="22" customHeight="1">
      <x:c r="A79" s="8" t="str">
        <x:v>GR-078</x:v>
      </x:c>
      <x:c r="B79" s="8" t="str">
        <x:v>Incremental &amp; provenance</x:v>
      </x:c>
      <x:c r="C79" s="8" t="str">
        <x:v>Support counts</x:v>
      </x:c>
      <x:c r="D79" s="8" t="str">
        <x:v>Required</x:v>
      </x:c>
      <x:c r="E79" s="8" t="str">
        <x:v>P1</x:v>
      </x:c>
      <x:c r="F79" s="8" t="str">
        <x:v>Native/RocksDB</x:v>
      </x:c>
      <x:c r="G79" s="8" t="str">
        <x:v>Count actual independent supports without double counting.</x:v>
      </x:c>
      <x:c r="H79" s="8" t="str">
        <x:v>https://mylonasc.github.io/gestaltdb/temporal-versioning.html</x:v>
      </x:c>
      <x:c r="I79" s="8" t="str">
        <x:v>Proposed audit; verify with tests before changing status.</x:v>
      </x:c>
      <x:c r="J79" s="8" t="str"/>
      <x:c r="K79" s="8" t="str"/>
    </x:row>
    <x:row r="80" ht="22" customHeight="1">
      <x:c r="A80" s="8" t="str">
        <x:v>GR-079</x:v>
      </x:c>
      <x:c r="B80" s="8" t="str">
        <x:v>Incremental &amp; provenance</x:v>
      </x:c>
      <x:c r="C80" s="8" t="str">
        <x:v>Deletion-and-rederivation</x:v>
      </x:c>
      <x:c r="D80" s="8" t="str">
        <x:v>Required</x:v>
      </x:c>
      <x:c r="E80" s="8" t="str">
        <x:v>P1</x:v>
      </x:c>
      <x:c r="F80" s="8" t="str">
        <x:v>Native</x:v>
      </x:c>
      <x:c r="G80" s="8" t="str">
        <x:v>Handle recursive cycles after removing seed support.</x:v>
      </x:c>
      <x:c r="H80" s="8" t="str">
        <x:v>https://mylonasc.github.io/gestaltdb/temporal-versioning.html</x:v>
      </x:c>
      <x:c r="I80" s="8" t="str">
        <x:v>Proposed audit; verify with tests before changing status.</x:v>
      </x:c>
      <x:c r="J80" s="8" t="str"/>
      <x:c r="K80" s="8" t="str"/>
    </x:row>
    <x:row r="81" ht="22" customHeight="1">
      <x:c r="A81" s="8" t="str">
        <x:v>GR-080</x:v>
      </x:c>
      <x:c r="B81" s="8" t="str">
        <x:v>Incremental &amp; provenance</x:v>
      </x:c>
      <x:c r="C81" s="8" t="str">
        <x:v>Backward/forward incremental deletion</x:v>
      </x:c>
      <x:c r="D81" s="8" t="str">
        <x:v>Required</x:v>
      </x:c>
      <x:c r="E81" s="8" t="str">
        <x:v>P2</x:v>
      </x:c>
      <x:c r="F81" s="8" t="str">
        <x:v>Native</x:v>
      </x:c>
      <x:c r="G81" s="8" t="str">
        <x:v>Compare to DRed under highly redundant derivations.</x:v>
      </x:c>
      <x:c r="H81" s="8" t="str">
        <x:v>https://mylonasc.github.io/gestaltdb/temporal-versioning.html</x:v>
      </x:c>
      <x:c r="I81" s="8" t="str">
        <x:v>Proposed audit; verify with tests before changing status.</x:v>
      </x:c>
      <x:c r="J81" s="8" t="str"/>
      <x:c r="K81" s="8" t="str"/>
    </x:row>
    <x:row r="82" ht="22" customHeight="1">
      <x:c r="A82" s="8" t="str">
        <x:v>GR-081</x:v>
      </x:c>
      <x:c r="B82" s="8" t="str">
        <x:v>Incremental &amp; provenance</x:v>
      </x:c>
      <x:c r="C82" s="8" t="str">
        <x:v>Signed differential updates</x:v>
      </x:c>
      <x:c r="D82" s="8" t="str">
        <x:v>Required</x:v>
      </x:c>
      <x:c r="E82" s="8" t="str">
        <x:v>P2</x:v>
      </x:c>
      <x:c r="F82" s="8" t="str">
        <x:v>Native</x:v>
      </x:c>
      <x:c r="G82" s="8" t="str">
        <x:v>Represent insertions/deletions as ± weighted changes.</x:v>
      </x:c>
      <x:c r="H82" s="8" t="str">
        <x:v>https://mylonasc.github.io/gestaltdb/temporal-versioning.html</x:v>
      </x:c>
      <x:c r="I82" s="8" t="str">
        <x:v>Proposed audit; verify with tests before changing status.</x:v>
      </x:c>
      <x:c r="J82" s="8" t="str"/>
      <x:c r="K82" s="8" t="str"/>
    </x:row>
    <x:row r="83" ht="22" customHeight="1">
      <x:c r="A83" s="8" t="str">
        <x:v>GR-082</x:v>
      </x:c>
      <x:c r="B83" s="8" t="str">
        <x:v>Incremental &amp; provenance</x:v>
      </x:c>
      <x:c r="C83" s="8" t="str">
        <x:v>Materialization generations</x:v>
      </x:c>
      <x:c r="D83" s="8" t="str">
        <x:v>Required</x:v>
      </x:c>
      <x:c r="E83" s="8" t="str">
        <x:v>P1</x:v>
      </x:c>
      <x:c r="F83" s="8" t="str">
        <x:v>RocksDB</x:v>
      </x:c>
      <x:c r="G83" s="8" t="str">
        <x:v>Publish complete derived version atomically.</x:v>
      </x:c>
      <x:c r="H83" s="8" t="str">
        <x:v>https://mylonasc.github.io/gestaltdb/temporal-versioning.html</x:v>
      </x:c>
      <x:c r="I83" s="8" t="str">
        <x:v>Proposed audit; verify with tests before changing status.</x:v>
      </x:c>
      <x:c r="J83" s="8" t="str"/>
      <x:c r="K83" s="8" t="str"/>
    </x:row>
    <x:row r="84" ht="22" customHeight="1">
      <x:c r="A84" s="8" t="str">
        <x:v>GR-083</x:v>
      </x:c>
      <x:c r="B84" s="8" t="str">
        <x:v>Incremental &amp; provenance</x:v>
      </x:c>
      <x:c r="C84" s="8" t="str">
        <x:v>Incremental rule changes</x:v>
      </x:c>
      <x:c r="D84" s="8" t="str">
        <x:v>Partial</x:v>
      </x:c>
      <x:c r="E84" s="8" t="str">
        <x:v>P1</x:v>
      </x:c>
      <x:c r="F84" s="8" t="str">
        <x:v>Native/planner</x:v>
      </x:c>
      <x:c r="G84" s="8" t="str">
        <x:v>Recompute only affected strata unless correctness requires full rebuild.</x:v>
      </x:c>
      <x:c r="H84" s="8" t="str">
        <x:v>https://mylonasc.github.io/gestaltdb/temporal-versioning.html</x:v>
      </x:c>
      <x:c r="I84" s="8" t="str">
        <x:v>Proposed audit; verify with tests before changing status.</x:v>
      </x:c>
      <x:c r="J84" s="8" t="str"/>
      <x:c r="K84" s="8" t="str"/>
    </x:row>
    <x:row r="85" ht="22" customHeight="1">
      <x:c r="A85" s="8" t="str">
        <x:v>GR-084</x:v>
      </x:c>
      <x:c r="B85" s="8" t="str">
        <x:v>Incremental &amp; provenance</x:v>
      </x:c>
      <x:c r="C85" s="8" t="str">
        <x:v>Minimal explanations</x:v>
      </x:c>
      <x:c r="D85" s="8" t="str">
        <x:v>Required</x:v>
      </x:c>
      <x:c r="E85" s="8" t="str">
        <x:v>P2</x:v>
      </x:c>
      <x:c r="F85" s="8" t="str">
        <x:v>Planner</x:v>
      </x:c>
      <x:c r="G85" s="8" t="str">
        <x:v>Find minimal evidence derivation, bounded by resources.</x:v>
      </x:c>
      <x:c r="H85" s="8" t="str">
        <x:v>https://mylonasc.github.io/gestaltdb/temporal-versioning.html</x:v>
      </x:c>
      <x:c r="I85" s="8" t="str">
        <x:v>Proposed audit; verify with tests before changing status.</x:v>
      </x:c>
      <x:c r="J85" s="8" t="str"/>
      <x:c r="K85" s="8" t="str"/>
    </x:row>
    <x:row r="86" ht="22" customHeight="1">
      <x:c r="A86" s="8" t="str">
        <x:v>GR-085</x:v>
      </x:c>
      <x:c r="B86" s="8" t="str">
        <x:v>Incremental &amp; provenance</x:v>
      </x:c>
      <x:c r="C86" s="8" t="str">
        <x:v>Ranked provenance</x:v>
      </x:c>
      <x:c r="D86" s="8" t="str">
        <x:v>Optional</x:v>
      </x:c>
      <x:c r="E86" s="8" t="str">
        <x:v>P3</x:v>
      </x:c>
      <x:c r="F86" s="8" t="str">
        <x:v>Planner</x:v>
      </x:c>
      <x:c r="G86" s="8" t="str">
        <x:v>Top-k explanations or semiring weight propagation.</x:v>
      </x:c>
      <x:c r="H86" s="8" t="str">
        <x:v>https://mylonasc.github.io/gestaltdb/temporal-versioning.html</x:v>
      </x:c>
      <x:c r="I86" s="8" t="str">
        <x:v>Proposed audit; verify with tests before changing status.</x:v>
      </x:c>
      <x:c r="J86" s="8" t="str"/>
      <x:c r="K86" s="8" t="str"/>
    </x:row>
    <x:row r="87" ht="22" customHeight="1">
      <x:c r="A87" s="8" t="str">
        <x:v>GR-086</x:v>
      </x:c>
      <x:c r="B87" s="8" t="str">
        <x:v>Semantics &amp; validation</x:v>
      </x:c>
      <x:c r="C87" s="8" t="str">
        <x:v>Four-valued claim status</x:v>
      </x:c>
      <x:c r="D87" s="8" t="str">
        <x:v>Available</x:v>
      </x:c>
      <x:c r="E87" s="8" t="str">
        <x:v>P0</x:v>
      </x:c>
      <x:c r="F87" s="8" t="str">
        <x:v>Semantics</x:v>
      </x:c>
      <x:c r="G87" s="8" t="str">
        <x:v>Keep unknown, positive, negative, both distinct.</x:v>
      </x:c>
      <x:c r="H87" s="8" t="str">
        <x:v>https://mylonasc.github.io/gestaltdb/modal-epistemic.html</x:v>
      </x:c>
      <x:c r="I87" s="8" t="str">
        <x:v>Proposed audit; verify with tests before changing status.</x:v>
      </x:c>
      <x:c r="J87" s="8" t="str"/>
      <x:c r="K87" s="8" t="str"/>
    </x:row>
    <x:row r="88" ht="22" customHeight="1">
      <x:c r="A88" s="8" t="str">
        <x:v>GR-087</x:v>
      </x:c>
      <x:c r="B88" s="8" t="str">
        <x:v>Semantics &amp; validation</x:v>
      </x:c>
      <x:c r="C88" s="8" t="str">
        <x:v>Explicit negative rule premises</x:v>
      </x:c>
      <x:c r="D88" s="8" t="str">
        <x:v>Required</x:v>
      </x:c>
      <x:c r="E88" s="8" t="str">
        <x:v>P1</x:v>
      </x:c>
      <x:c r="F88" s="8" t="str">
        <x:v>Semantics</x:v>
      </x:c>
      <x:c r="G88" s="8" t="str">
        <x:v>Consume explicit negative assertions without conflating nonexistence.</x:v>
      </x:c>
      <x:c r="H88" s="8" t="str">
        <x:v>https://mylonasc.github.io/gestaltdb/modal-epistemic.html</x:v>
      </x:c>
      <x:c r="I88" s="8" t="str">
        <x:v>Proposed audit; verify with tests before changing status.</x:v>
      </x:c>
      <x:c r="J88" s="8" t="str"/>
      <x:c r="K88" s="8" t="str"/>
    </x:row>
    <x:row r="89" ht="22" customHeight="1">
      <x:c r="A89" s="8" t="str">
        <x:v>GR-088</x:v>
      </x:c>
      <x:c r="B89" s="8" t="str">
        <x:v>Semantics &amp; validation</x:v>
      </x:c>
      <x:c r="C89" s="8" t="str">
        <x:v>Negation as failure</x:v>
      </x:c>
      <x:c r="D89" s="8" t="str">
        <x:v>Required</x:v>
      </x:c>
      <x:c r="E89" s="8" t="str">
        <x:v>P1</x:v>
      </x:c>
      <x:c r="F89" s="8" t="str">
        <x:v>Planner</x:v>
      </x:c>
      <x:c r="G89" s="8" t="str">
        <x:v>Only for configured closed-world strata.</x:v>
      </x:c>
      <x:c r="H89" s="8" t="str">
        <x:v>https://mylonasc.github.io/gestaltdb/modal-epistemic.html</x:v>
      </x:c>
      <x:c r="I89" s="8" t="str">
        <x:v>Proposed audit; verify with tests before changing status.</x:v>
      </x:c>
      <x:c r="J89" s="8" t="str"/>
      <x:c r="K89" s="8" t="str"/>
    </x:row>
    <x:row r="90" ht="22" customHeight="1">
      <x:c r="A90" s="8" t="str">
        <x:v>GR-089</x:v>
      </x:c>
      <x:c r="B90" s="8" t="str">
        <x:v>Semantics &amp; validation</x:v>
      </x:c>
      <x:c r="C90" s="8" t="str">
        <x:v>Class disjointness conflicts</x:v>
      </x:c>
      <x:c r="D90" s="8" t="str">
        <x:v>Required</x:v>
      </x:c>
      <x:c r="E90" s="8" t="str">
        <x:v>P1</x:v>
      </x:c>
      <x:c r="F90" s="8" t="str">
        <x:v>Constraints</x:v>
      </x:c>
      <x:c r="G90" s="8" t="str">
        <x:v>Detect type membership contradictions.</x:v>
      </x:c>
      <x:c r="H90" s="8" t="str">
        <x:v>https://mylonasc.github.io/gestaltdb/modal-epistemic.html</x:v>
      </x:c>
      <x:c r="I90" s="8" t="str">
        <x:v>Proposed audit; verify with tests before changing status.</x:v>
      </x:c>
      <x:c r="J90" s="8" t="str"/>
      <x:c r="K90" s="8" t="str"/>
    </x:row>
    <x:row r="91" ht="22" customHeight="1">
      <x:c r="A91" s="8" t="str">
        <x:v>GR-090</x:v>
      </x:c>
      <x:c r="B91" s="8" t="str">
        <x:v>Semantics &amp; validation</x:v>
      </x:c>
      <x:c r="C91" s="8" t="str">
        <x:v>Inequality conflicts</x:v>
      </x:c>
      <x:c r="D91" s="8" t="str">
        <x:v>Required</x:v>
      </x:c>
      <x:c r="E91" s="8" t="str">
        <x:v>P1</x:v>
      </x:c>
      <x:c r="F91" s="8" t="str">
        <x:v>Constraints</x:v>
      </x:c>
      <x:c r="G91" s="8" t="str">
        <x:v>Reject/report same individual and different individual evidence.</x:v>
      </x:c>
      <x:c r="H91" s="8" t="str">
        <x:v>https://mylonasc.github.io/gestaltdb/modal-epistemic.html</x:v>
      </x:c>
      <x:c r="I91" s="8" t="str">
        <x:v>Proposed audit; verify with tests before changing status.</x:v>
      </x:c>
      <x:c r="J91" s="8" t="str"/>
      <x:c r="K91" s="8" t="str"/>
    </x:row>
    <x:row r="92" ht="22" customHeight="1">
      <x:c r="A92" s="8" t="str">
        <x:v>GR-091</x:v>
      </x:c>
      <x:c r="B92" s="8" t="str">
        <x:v>Semantics &amp; validation</x:v>
      </x:c>
      <x:c r="C92" s="8" t="str">
        <x:v>Functional property checks</x:v>
      </x:c>
      <x:c r="D92" s="8" t="str">
        <x:v>Required</x:v>
      </x:c>
      <x:c r="E92" s="8" t="str">
        <x:v>P1</x:v>
      </x:c>
      <x:c r="F92" s="8" t="str">
        <x:v>Constraints</x:v>
      </x:c>
      <x:c r="G92" s="8" t="str">
        <x:v>Report violations or infer equality per profile.</x:v>
      </x:c>
      <x:c r="H92" s="8" t="str">
        <x:v>https://mylonasc.github.io/gestaltdb/modal-epistemic.html</x:v>
      </x:c>
      <x:c r="I92" s="8" t="str">
        <x:v>Proposed audit; verify with tests before changing status.</x:v>
      </x:c>
      <x:c r="J92" s="8" t="str"/>
      <x:c r="K92" s="8" t="str"/>
    </x:row>
    <x:row r="93" ht="22" customHeight="1">
      <x:c r="A93" s="8" t="str">
        <x:v>GR-092</x:v>
      </x:c>
      <x:c r="B93" s="8" t="str">
        <x:v>Semantics &amp; validation</x:v>
      </x:c>
      <x:c r="C93" s="8" t="str">
        <x:v>Datatype canonicalization</x:v>
      </x:c>
      <x:c r="D93" s="8" t="str">
        <x:v>Required</x:v>
      </x:c>
      <x:c r="E93" s="8" t="str">
        <x:v>P1</x:v>
      </x:c>
      <x:c r="F93" s="8" t="str">
        <x:v>IR/native</x:v>
      </x:c>
      <x:c r="G93" s="8" t="str">
        <x:v>Canonicalize lexical and value spaces (incl. numeric/date).</x:v>
      </x:c>
      <x:c r="H93" s="8" t="str">
        <x:v>https://mylonasc.github.io/gestaltdb/modal-epistemic.html</x:v>
      </x:c>
      <x:c r="I93" s="8" t="str">
        <x:v>Proposed audit; verify with tests before changing status.</x:v>
      </x:c>
      <x:c r="J93" s="8" t="str"/>
      <x:c r="K93" s="8" t="str"/>
    </x:row>
    <x:row r="94" ht="22" customHeight="1">
      <x:c r="A94" s="8" t="str">
        <x:v>GR-093</x:v>
      </x:c>
      <x:c r="B94" s="8" t="str">
        <x:v>Semantics &amp; validation</x:v>
      </x:c>
      <x:c r="C94" s="8" t="str">
        <x:v>Constraint provenance</x:v>
      </x:c>
      <x:c r="D94" s="8" t="str">
        <x:v>Required</x:v>
      </x:c>
      <x:c r="E94" s="8" t="str">
        <x:v>P1</x:v>
      </x:c>
      <x:c r="F94" s="8" t="str">
        <x:v>RocksDB</x:v>
      </x:c>
      <x:c r="G94" s="8" t="str">
        <x:v>Trace each violation to axioms and facts.</x:v>
      </x:c>
      <x:c r="H94" s="8" t="str">
        <x:v>https://mylonasc.github.io/gestaltdb/modal-epistemic.html</x:v>
      </x:c>
      <x:c r="I94" s="8" t="str">
        <x:v>Proposed audit; verify with tests before changing status.</x:v>
      </x:c>
      <x:c r="J94" s="8" t="str"/>
      <x:c r="K94" s="8" t="str"/>
    </x:row>
    <x:row r="95" ht="22" customHeight="1">
      <x:c r="A95" s="8" t="str">
        <x:v>GR-094</x:v>
      </x:c>
      <x:c r="B95" s="8" t="str">
        <x:v>Semantics &amp; validation</x:v>
      </x:c>
      <x:c r="C95" s="8" t="str">
        <x:v>Classical/paraconsistent profiles</x:v>
      </x:c>
      <x:c r="D95" s="8" t="str">
        <x:v>Required</x:v>
      </x:c>
      <x:c r="E95" s="8" t="str">
        <x:v>P1</x:v>
      </x:c>
      <x:c r="F95" s="8" t="str">
        <x:v>Semantics</x:v>
      </x:c>
      <x:c r="G95" s="8" t="str">
        <x:v>Declare inference behavior in contradictory datasets.</x:v>
      </x:c>
      <x:c r="H95" s="8" t="str">
        <x:v>https://mylonasc.github.io/gestaltdb/modal-epistemic.html</x:v>
      </x:c>
      <x:c r="I95" s="8" t="str">
        <x:v>Proposed audit; verify with tests before changing status.</x:v>
      </x:c>
      <x:c r="J95" s="8" t="str"/>
      <x:c r="K95" s="8" t="str"/>
    </x:row>
    <x:row r="96" ht="22" customHeight="1">
      <x:c r="A96" s="8" t="str">
        <x:v>GR-095</x:v>
      </x:c>
      <x:c r="B96" s="8" t="str">
        <x:v>Semantics &amp; validation</x:v>
      </x:c>
      <x:c r="C96" s="8" t="str">
        <x:v>Predicate-level closed-world scope</x:v>
      </x:c>
      <x:c r="D96" s="8" t="str">
        <x:v>Required</x:v>
      </x:c>
      <x:c r="E96" s="8" t="str">
        <x:v>P2</x:v>
      </x:c>
      <x:c r="F96" s="8" t="str">
        <x:v>Semantics</x:v>
      </x:c>
      <x:c r="G96" s="8" t="str">
        <x:v>Explicitly mark predicates eligible for nonexistence reasoning.</x:v>
      </x:c>
      <x:c r="H96" s="8" t="str">
        <x:v>https://mylonasc.github.io/gestaltdb/modal-epistemic.html</x:v>
      </x:c>
      <x:c r="I96" s="8" t="str">
        <x:v>Proposed audit; verify with tests before changing status.</x:v>
      </x:c>
      <x:c r="J96" s="8" t="str"/>
      <x:c r="K96" s="8" t="str"/>
    </x:row>
    <x:row r="97" ht="22" customHeight="1">
      <x:c r="A97" s="8" t="str">
        <x:v>GR-096</x:v>
      </x:c>
      <x:c r="B97" s="8" t="str">
        <x:v>Semantics &amp; validation</x:v>
      </x:c>
      <x:c r="C97" s="8" t="str">
        <x:v>SHACL-style validation kernels</x:v>
      </x:c>
      <x:c r="D97" s="8" t="str">
        <x:v>Required</x:v>
      </x:c>
      <x:c r="E97" s="8" t="str">
        <x:v>P2</x:v>
      </x:c>
      <x:c r="F97" s="8" t="str">
        <x:v>Compiler/native</x:v>
      </x:c>
      <x:c r="G97" s="8" t="str">
        <x:v>Validate shapes and cardinalities separately from logical entailment.</x:v>
      </x:c>
      <x:c r="H97" s="8" t="str">
        <x:v>https://mylonasc.github.io/gestaltdb/modal-epistemic.html</x:v>
      </x:c>
      <x:c r="I97" s="8" t="str">
        <x:v>Proposed audit; verify with tests before changing status.</x:v>
      </x:c>
      <x:c r="J97" s="8" t="str"/>
      <x:c r="K97" s="8" t="str"/>
    </x:row>
    <x:row r="98" ht="22" customHeight="1">
      <x:c r="A98" s="8" t="str">
        <x:v>GR-097</x:v>
      </x:c>
      <x:c r="B98" s="8" t="str">
        <x:v>Semantics &amp; validation</x:v>
      </x:c>
      <x:c r="C98" s="8" t="str">
        <x:v>Probabilistic/fuzzy reasoning</x:v>
      </x:c>
      <x:c r="D98" s="8" t="str">
        <x:v>Optional</x:v>
      </x:c>
      <x:c r="E98" s="8" t="str">
        <x:v>P3</x:v>
      </x:c>
      <x:c r="F98" s="8" t="str">
        <x:v>Semantics</x:v>
      </x:c>
      <x:c r="G98" s="8" t="str">
        <x:v>Policy-specific aggregation, not conflated with logical truth.</x:v>
      </x:c>
      <x:c r="H98" s="8" t="str">
        <x:v>https://mylonasc.github.io/gestaltdb/modal-epistemic.html</x:v>
      </x:c>
      <x:c r="I98" s="8" t="str">
        <x:v>Proposed audit; verify with tests before changing status.</x:v>
      </x:c>
      <x:c r="J98" s="8" t="str"/>
      <x:c r="K98" s="8" t="str"/>
    </x:row>
    <x:row r="99" ht="22" customHeight="1">
      <x:c r="A99" s="8" t="str">
        <x:v>GR-098</x:v>
      </x:c>
      <x:c r="B99" s="8" t="str">
        <x:v>Temporal &amp; worlds</x:v>
      </x:c>
      <x:c r="C99" s="8" t="str">
        <x:v>Half-open valid intervals</x:v>
      </x:c>
      <x:c r="D99" s="8" t="str">
        <x:v>Available</x:v>
      </x:c>
      <x:c r="E99" s="8" t="str">
        <x:v>P0</x:v>
      </x:c>
      <x:c r="F99" s="8" t="str">
        <x:v>Python/RocksDB</x:v>
      </x:c>
      <x:c r="G99" s="8" t="str">
        <x:v>Correct interval overlap and intersection.</x:v>
      </x:c>
      <x:c r="H99" s="8" t="str">
        <x:v>https://mylonasc.github.io/gestaltdb/temporal-versioning.html</x:v>
      </x:c>
      <x:c r="I99" s="8" t="str">
        <x:v>Proposed audit; verify with tests before changing status.</x:v>
      </x:c>
      <x:c r="J99" s="8" t="str"/>
      <x:c r="K99" s="8" t="str"/>
    </x:row>
    <x:row r="100" ht="22" customHeight="1">
      <x:c r="A100" s="8" t="str">
        <x:v>GR-099</x:v>
      </x:c>
      <x:c r="B100" s="8" t="str">
        <x:v>Temporal &amp; worlds</x:v>
      </x:c>
      <x:c r="C100" s="8" t="str">
        <x:v>System time horizons</x:v>
      </x:c>
      <x:c r="D100" s="8" t="str">
        <x:v>Available</x:v>
      </x:c>
      <x:c r="E100" s="8" t="str">
        <x:v>P0</x:v>
      </x:c>
      <x:c r="F100" s="8" t="str">
        <x:v>Python/RocksDB</x:v>
      </x:c>
      <x:c r="G100" s="8" t="str">
        <x:v>Replay exact commits and corrections.</x:v>
      </x:c>
      <x:c r="H100" s="8" t="str">
        <x:v>https://mylonasc.github.io/gestaltdb/temporal-versioning.html</x:v>
      </x:c>
      <x:c r="I100" s="8" t="str">
        <x:v>Proposed audit; verify with tests before changing status.</x:v>
      </x:c>
      <x:c r="J100" s="8" t="str"/>
      <x:c r="K100" s="8" t="str"/>
    </x:row>
    <x:row r="101" ht="22" customHeight="1">
      <x:c r="A101" s="8" t="str">
        <x:v>GR-100</x:v>
      </x:c>
      <x:c r="B101" s="8" t="str">
        <x:v>Temporal &amp; worlds</x:v>
      </x:c>
      <x:c r="C101" s="8" t="str">
        <x:v>Consistent read-view provenance</x:v>
      </x:c>
      <x:c r="D101" s="8" t="str">
        <x:v>Available</x:v>
      </x:c>
      <x:c r="E101" s="8" t="str">
        <x:v>P0</x:v>
      </x:c>
      <x:c r="F101" s="8" t="str">
        <x:v>RocksDB</x:v>
      </x:c>
      <x:c r="G101" s="8" t="str">
        <x:v>Tie inference to a stable read horizon.</x:v>
      </x:c>
      <x:c r="H101" s="8" t="str">
        <x:v>https://mylonasc.github.io/gestaltdb/temporal-versioning.html</x:v>
      </x:c>
      <x:c r="I101" s="8" t="str">
        <x:v>Proposed audit; verify with tests before changing status.</x:v>
      </x:c>
      <x:c r="J101" s="8" t="str"/>
      <x:c r="K101" s="8" t="str"/>
    </x:row>
    <x:row r="102" ht="22" customHeight="1">
      <x:c r="A102" s="8" t="str">
        <x:v>GR-101</x:v>
      </x:c>
      <x:c r="B102" s="8" t="str">
        <x:v>Temporal &amp; worlds</x:v>
      </x:c>
      <x:c r="C102" s="8" t="str">
        <x:v>Temporal premise intersection</x:v>
      </x:c>
      <x:c r="D102" s="8" t="str">
        <x:v>Available</x:v>
      </x:c>
      <x:c r="E102" s="8" t="str">
        <x:v>P0</x:v>
      </x:c>
      <x:c r="F102" s="8" t="str">
        <x:v>Python</x:v>
      </x:c>
      <x:c r="G102" s="8" t="str">
        <x:v>Intersect temporal validity along derivation.</x:v>
      </x:c>
      <x:c r="H102" s="8" t="str">
        <x:v>https://mylonasc.github.io/gestaltdb/temporal-versioning.html</x:v>
      </x:c>
      <x:c r="I102" s="8" t="str">
        <x:v>Proposed audit; verify with tests before changing status.</x:v>
      </x:c>
      <x:c r="J102" s="8" t="str"/>
      <x:c r="K102" s="8" t="str"/>
    </x:row>
    <x:row r="103" ht="22" customHeight="1">
      <x:c r="A103" s="8" t="str">
        <x:v>GR-102</x:v>
      </x:c>
      <x:c r="B103" s="8" t="str">
        <x:v>Temporal &amp; worlds</x:v>
      </x:c>
      <x:c r="C103" s="8" t="str">
        <x:v>Bounded modal accessibility</x:v>
      </x:c>
      <x:c r="D103" s="8" t="str">
        <x:v>Available</x:v>
      </x:c>
      <x:c r="E103" s="8" t="str">
        <x:v>P0</x:v>
      </x:c>
      <x:c r="F103" s="8" t="str">
        <x:v>Python</x:v>
      </x:c>
      <x:c r="G103" s="8" t="str">
        <x:v>Evaluate worlds without mixing accessibility frames.</x:v>
      </x:c>
      <x:c r="H103" s="8" t="str">
        <x:v>https://mylonasc.github.io/gestaltdb/temporal-versioning.html</x:v>
      </x:c>
      <x:c r="I103" s="8" t="str">
        <x:v>Proposed audit; verify with tests before changing status.</x:v>
      </x:c>
      <x:c r="J103" s="8" t="str"/>
      <x:c r="K103" s="8" t="str"/>
    </x:row>
    <x:row r="104" ht="22" customHeight="1">
      <x:c r="A104" s="8" t="str">
        <x:v>GR-103</x:v>
      </x:c>
      <x:c r="B104" s="8" t="str">
        <x:v>Temporal &amp; worlds</x:v>
      </x:c>
      <x:c r="C104" s="8" t="str">
        <x:v>Temporal delta relations</x:v>
      </x:c>
      <x:c r="D104" s="8" t="str">
        <x:v>Required</x:v>
      </x:c>
      <x:c r="E104" s="8" t="str">
        <x:v>P1</x:v>
      </x:c>
      <x:c r="F104" s="8" t="str">
        <x:v>Native</x:v>
      </x:c>
      <x:c r="G104" s="8" t="str">
        <x:v>Re-evaluate only changed valid-time ranges.</x:v>
      </x:c>
      <x:c r="H104" s="8" t="str">
        <x:v>https://mylonasc.github.io/gestaltdb/temporal-versioning.html</x:v>
      </x:c>
      <x:c r="I104" s="8" t="str">
        <x:v>Proposed audit; verify with tests before changing status.</x:v>
      </x:c>
      <x:c r="J104" s="8" t="str"/>
      <x:c r="K104" s="8" t="str"/>
    </x:row>
    <x:row r="105" ht="22" customHeight="1">
      <x:c r="A105" s="8" t="str">
        <x:v>GR-104</x:v>
      </x:c>
      <x:c r="B105" s="8" t="str">
        <x:v>Temporal &amp; worlds</x:v>
      </x:c>
      <x:c r="C105" s="8" t="str">
        <x:v>Interval sets preserving gaps</x:v>
      </x:c>
      <x:c r="D105" s="8" t="str">
        <x:v>Required</x:v>
      </x:c>
      <x:c r="E105" s="8" t="str">
        <x:v>P1</x:v>
      </x:c>
      <x:c r="F105" s="8" t="str">
        <x:v>Native</x:v>
      </x:c>
      <x:c r="G105" s="8" t="str">
        <x:v>Multiple disjoint support segments per conclusion.</x:v>
      </x:c>
      <x:c r="H105" s="8" t="str">
        <x:v>https://mylonasc.github.io/gestaltdb/temporal-versioning.html</x:v>
      </x:c>
      <x:c r="I105" s="8" t="str">
        <x:v>Proposed audit; verify with tests before changing status.</x:v>
      </x:c>
      <x:c r="J105" s="8" t="str"/>
      <x:c r="K105" s="8" t="str"/>
    </x:row>
    <x:row r="106" ht="22" customHeight="1">
      <x:c r="A106" s="8" t="str">
        <x:v>GR-105</x:v>
      </x:c>
      <x:c r="B106" s="8" t="str">
        <x:v>Temporal &amp; worlds</x:v>
      </x:c>
      <x:c r="C106" s="8" t="str">
        <x:v>Temporal coalescing</x:v>
      </x:c>
      <x:c r="D106" s="8" t="str">
        <x:v>Partial</x:v>
      </x:c>
      <x:c r="E106" s="8" t="str">
        <x:v>P1</x:v>
      </x:c>
      <x:c r="F106" s="8" t="str">
        <x:v>Native</x:v>
      </x:c>
      <x:c r="G106" s="8" t="str">
        <x:v>Merge adjacent/overlapping equal-support intervals only.</x:v>
      </x:c>
      <x:c r="H106" s="8" t="str">
        <x:v>https://mylonasc.github.io/gestaltdb/temporal-versioning.html</x:v>
      </x:c>
      <x:c r="I106" s="8" t="str">
        <x:v>Proposed audit; verify with tests before changing status.</x:v>
      </x:c>
      <x:c r="J106" s="8" t="str"/>
      <x:c r="K106" s="8" t="str"/>
    </x:row>
    <x:row r="107" ht="22" customHeight="1">
      <x:c r="A107" s="8" t="str">
        <x:v>GR-106</x:v>
      </x:c>
      <x:c r="B107" s="8" t="str">
        <x:v>Temporal &amp; worlds</x:v>
      </x:c>
      <x:c r="C107" s="8" t="str">
        <x:v>Native interval join</x:v>
      </x:c>
      <x:c r="D107" s="8" t="str">
        <x:v>Required</x:v>
      </x:c>
      <x:c r="E107" s="8" t="str">
        <x:v>P1</x:v>
      </x:c>
      <x:c r="F107" s="8" t="str">
        <x:v>Native</x:v>
      </x:c>
      <x:c r="G107" s="8" t="str">
        <x:v>Intersect many interval relations in batches.</x:v>
      </x:c>
      <x:c r="H107" s="8" t="str">
        <x:v>https://mylonasc.github.io/gestaltdb/temporal-versioning.html</x:v>
      </x:c>
      <x:c r="I107" s="8" t="str">
        <x:v>Proposed audit; verify with tests before changing status.</x:v>
      </x:c>
      <x:c r="J107" s="8" t="str"/>
      <x:c r="K107" s="8" t="str"/>
    </x:row>
    <x:row r="108" ht="22" customHeight="1">
      <x:c r="A108" s="8" t="str">
        <x:v>GR-107</x:v>
      </x:c>
      <x:c r="B108" s="8" t="str">
        <x:v>Temporal &amp; worlds</x:v>
      </x:c>
      <x:c r="C108" s="8" t="str">
        <x:v>Full-range temporal closure</x:v>
      </x:c>
      <x:c r="D108" s="8" t="str">
        <x:v>Required</x:v>
      </x:c>
      <x:c r="E108" s="8" t="str">
        <x:v>P1</x:v>
      </x:c>
      <x:c r="F108" s="8" t="str">
        <x:v>Native</x:v>
      </x:c>
      <x:c r="G108" s="8" t="str">
        <x:v>Derive all intervals, not only a sampled as_of instant.</x:v>
      </x:c>
      <x:c r="H108" s="8" t="str">
        <x:v>https://mylonasc.github.io/gestaltdb/temporal-versioning.html</x:v>
      </x:c>
      <x:c r="I108" s="8" t="str">
        <x:v>Proposed audit; verify with tests before changing status.</x:v>
      </x:c>
      <x:c r="J108" s="8" t="str"/>
      <x:c r="K108" s="8" t="str"/>
    </x:row>
    <x:row r="109" ht="22" customHeight="1">
      <x:c r="A109" s="8" t="str">
        <x:v>GR-108</x:v>
      </x:c>
      <x:c r="B109" s="8" t="str">
        <x:v>Temporal &amp; worlds</x:v>
      </x:c>
      <x:c r="C109" s="8" t="str">
        <x:v>World-qualifier on native joins</x:v>
      </x:c>
      <x:c r="D109" s="8" t="str">
        <x:v>Partial</x:v>
      </x:c>
      <x:c r="E109" s="8" t="str">
        <x:v>P1</x:v>
      </x:c>
      <x:c r="F109" s="8" t="str">
        <x:v>Native</x:v>
      </x:c>
      <x:c r="G109" s="8" t="str">
        <x:v>World matching is index-first rather than Python filter.</x:v>
      </x:c>
      <x:c r="H109" s="8" t="str">
        <x:v>https://mylonasc.github.io/gestaltdb/temporal-versioning.html</x:v>
      </x:c>
      <x:c r="I109" s="8" t="str">
        <x:v>Proposed audit; verify with tests before changing status.</x:v>
      </x:c>
      <x:c r="J109" s="8" t="str"/>
      <x:c r="K109" s="8" t="str"/>
    </x:row>
    <x:row r="110" ht="22" customHeight="1">
      <x:c r="A110" s="8" t="str">
        <x:v>GR-109</x:v>
      </x:c>
      <x:c r="B110" s="8" t="str">
        <x:v>Temporal &amp; worlds</x:v>
      </x:c>
      <x:c r="C110" s="8" t="str">
        <x:v>Cross-world inference policies</x:v>
      </x:c>
      <x:c r="D110" s="8" t="str">
        <x:v>Required</x:v>
      </x:c>
      <x:c r="E110" s="8" t="str">
        <x:v>P2</x:v>
      </x:c>
      <x:c r="F110" s="8" t="str">
        <x:v>Semantics</x:v>
      </x:c>
      <x:c r="G110" s="8" t="str">
        <x:v>Explicit legal pathways between contexts.</x:v>
      </x:c>
      <x:c r="H110" s="8" t="str">
        <x:v>https://mylonasc.github.io/gestaltdb/temporal-versioning.html</x:v>
      </x:c>
      <x:c r="I110" s="8" t="str">
        <x:v>Proposed audit; verify with tests before changing status.</x:v>
      </x:c>
      <x:c r="J110" s="8" t="str"/>
      <x:c r="K110" s="8" t="str"/>
    </x:row>
    <x:row r="111" ht="22" customHeight="1">
      <x:c r="A111" s="8" t="str">
        <x:v>GR-110</x:v>
      </x:c>
      <x:c r="B111" s="8" t="str">
        <x:v>Temporal &amp; worlds</x:v>
      </x:c>
      <x:c r="C111" s="8" t="str">
        <x:v>Confidence combination policy</x:v>
      </x:c>
      <x:c r="D111" s="8" t="str">
        <x:v>Partial</x:v>
      </x:c>
      <x:c r="E111" s="8" t="str">
        <x:v>P2</x:v>
      </x:c>
      <x:c r="F111" s="8" t="str">
        <x:v>Semantics</x:v>
      </x:c>
      <x:c r="G111" s="8" t="str">
        <x:v>Avoid accidental probabilistic semantics.</x:v>
      </x:c>
      <x:c r="H111" s="8" t="str">
        <x:v>https://mylonasc.github.io/gestaltdb/temporal-versioning.html</x:v>
      </x:c>
      <x:c r="I111" s="8" t="str">
        <x:v>Proposed audit; verify with tests before changing status.</x:v>
      </x:c>
      <x:c r="J111" s="8" t="str"/>
      <x:c r="K111" s="8" t="str"/>
    </x:row>
    <x:row r="112" ht="22" customHeight="1">
      <x:c r="A112" s="8" t="str">
        <x:v>GR-111</x:v>
      </x:c>
      <x:c r="B112" s="8" t="str">
        <x:v>Temporal &amp; worlds</x:v>
      </x:c>
      <x:c r="C112" s="8" t="str">
        <x:v>Temporal modal closure</x:v>
      </x:c>
      <x:c r="D112" s="8" t="str">
        <x:v>Required</x:v>
      </x:c>
      <x:c r="E112" s="8" t="str">
        <x:v>P2</x:v>
      </x:c>
      <x:c r="F112" s="8" t="str">
        <x:v>Native/planner</x:v>
      </x:c>
      <x:c r="G112" s="8" t="str">
        <x:v>Efficiently evaluate nested modal-temporal operators.</x:v>
      </x:c>
      <x:c r="H112" s="8" t="str">
        <x:v>https://mylonasc.github.io/gestaltdb/temporal-versioning.html</x:v>
      </x:c>
      <x:c r="I112" s="8" t="str">
        <x:v>Proposed audit; verify with tests before changing status.</x:v>
      </x:c>
      <x:c r="J112" s="8" t="str"/>
      <x:c r="K112" s="8" t="str"/>
    </x:row>
    <x:row r="113" ht="22" customHeight="1">
      <x:c r="A113" s="8" t="str">
        <x:v>GR-112</x:v>
      </x:c>
      <x:c r="B113" s="8" t="str">
        <x:v>RocksDB &amp; Arrow runtime</x:v>
      </x:c>
      <x:c r="C113" s="8" t="str">
        <x:v>Native columnar ingest</x:v>
      </x:c>
      <x:c r="D113" s="8" t="str">
        <x:v>Available</x:v>
      </x:c>
      <x:c r="E113" s="8" t="str">
        <x:v>P0</x:v>
      </x:c>
      <x:c r="F113" s="8" t="str">
        <x:v>PyRex C++</x:v>
      </x:c>
      <x:c r="G113" s="8" t="str">
        <x:v>Write Arrow-backed payload values without Python row marshalling.</x:v>
      </x:c>
      <x:c r="H113" s="8" t="str">
        <x:v>https://raw.githubusercontent.com/mylonasc/gestaltdb/main/src/gestaltdb/kvstores.py</x:v>
      </x:c>
      <x:c r="I113" s="8" t="str">
        <x:v>Proposed audit; verify with tests before changing status.</x:v>
      </x:c>
      <x:c r="J113" s="8" t="str"/>
      <x:c r="K113" s="8" t="str"/>
    </x:row>
    <x:row r="114" ht="22" customHeight="1">
      <x:c r="A114" s="8" t="str">
        <x:v>GR-113</x:v>
      </x:c>
      <x:c r="B114" s="8" t="str">
        <x:v>RocksDB &amp; Arrow runtime</x:v>
      </x:c>
      <x:c r="C114" s="8" t="str">
        <x:v>Batched indexed scan</x:v>
      </x:c>
      <x:c r="D114" s="8" t="str">
        <x:v>Required</x:v>
      </x:c>
      <x:c r="E114" s="8" t="str">
        <x:v>P0</x:v>
      </x:c>
      <x:c r="F114" s="8" t="str">
        <x:v>PyRex C++</x:v>
      </x:c>
      <x:c r="G114" s="8" t="str">
        <x:v>Read predicate-keyed ranges in one native iterator loop.</x:v>
      </x:c>
      <x:c r="H114" s="8" t="str">
        <x:v>https://raw.githubusercontent.com/mylonasc/gestaltdb/main/src/gestaltdb/kvstores.py</x:v>
      </x:c>
      <x:c r="I114" s="8" t="str">
        <x:v>Proposed audit; verify with tests before changing status.</x:v>
      </x:c>
      <x:c r="J114" s="8" t="str"/>
      <x:c r="K114" s="8" t="str"/>
    </x:row>
    <x:row r="115" ht="22" customHeight="1">
      <x:c r="A115" s="8" t="str">
        <x:v>GR-114</x:v>
      </x:c>
      <x:c r="B115" s="8" t="str">
        <x:v>RocksDB &amp; Arrow runtime</x:v>
      </x:c>
      <x:c r="C115" s="8" t="str">
        <x:v>MultiGet batch</x:v>
      </x:c>
      <x:c r="D115" s="8" t="str">
        <x:v>Required</x:v>
      </x:c>
      <x:c r="E115" s="8" t="str">
        <x:v>P0</x:v>
      </x:c>
      <x:c r="F115" s="8" t="str">
        <x:v>PyRex C++</x:v>
      </x:c>
      <x:c r="G115" s="8" t="str">
        <x:v>Fetch multiple keys with one native call when beneficial.</x:v>
      </x:c>
      <x:c r="H115" s="8" t="str">
        <x:v>https://raw.githubusercontent.com/mylonasc/gestaltdb/main/src/gestaltdb/kvstores.py</x:v>
      </x:c>
      <x:c r="I115" s="8" t="str">
        <x:v>Proposed audit; verify with tests before changing status.</x:v>
      </x:c>
      <x:c r="J115" s="8" t="str"/>
      <x:c r="K115" s="8" t="str"/>
    </x:row>
    <x:row r="116" ht="22" customHeight="1">
      <x:c r="A116" s="8" t="str">
        <x:v>GR-115</x:v>
      </x:c>
      <x:c r="B116" s="8" t="str">
        <x:v>RocksDB &amp; Arrow runtime</x:v>
      </x:c>
      <x:c r="C116" s="8" t="str">
        <x:v>Arrow C Data/C Stream bridge</x:v>
      </x:c>
      <x:c r="D116" s="8" t="str">
        <x:v>Required</x:v>
      </x:c>
      <x:c r="E116" s="8" t="str">
        <x:v>P0</x:v>
      </x:c>
      <x:c r="F116" s="8" t="str">
        <x:v>Native</x:v>
      </x:c>
      <x:c r="G116" s="8" t="str">
        <x:v>Expose batches by Arrow capsules without Python object-per-row.</x:v>
      </x:c>
      <x:c r="H116" s="8" t="str">
        <x:v>https://raw.githubusercontent.com/mylonasc/gestaltdb/main/src/gestaltdb/kvstores.py</x:v>
      </x:c>
      <x:c r="I116" s="8" t="str">
        <x:v>Proposed audit; verify with tests before changing status.</x:v>
      </x:c>
      <x:c r="J116" s="8" t="str"/>
      <x:c r="K116" s="8" t="str"/>
    </x:row>
    <x:row r="117" ht="22" customHeight="1">
      <x:c r="A117" s="8" t="str">
        <x:v>GR-116</x:v>
      </x:c>
      <x:c r="B117" s="8" t="str">
        <x:v>RocksDB &amp; Arrow runtime</x:v>
      </x:c>
      <x:c r="C117" s="8" t="str">
        <x:v>Native symbol dictionary</x:v>
      </x:c>
      <x:c r="D117" s="8" t="str">
        <x:v>Required</x:v>
      </x:c>
      <x:c r="E117" s="8" t="str">
        <x:v>P0</x:v>
      </x:c>
      <x:c r="F117" s="8" t="str">
        <x:v>PyRex/native</x:v>
      </x:c>
      <x:c r="G117" s="8" t="str">
        <x:v>Encode entities/predicates as small numeric IDs.</x:v>
      </x:c>
      <x:c r="H117" s="8" t="str">
        <x:v>https://raw.githubusercontent.com/mylonasc/gestaltdb/main/src/gestaltdb/kvstores.py</x:v>
      </x:c>
      <x:c r="I117" s="8" t="str">
        <x:v>Proposed audit; verify with tests before changing status.</x:v>
      </x:c>
      <x:c r="J117" s="8" t="str"/>
      <x:c r="K117" s="8" t="str"/>
    </x:row>
    <x:row r="118" ht="22" customHeight="1">
      <x:c r="A118" s="8" t="str">
        <x:v>GR-117</x:v>
      </x:c>
      <x:c r="B118" s="8" t="str">
        <x:v>RocksDB &amp; Arrow runtime</x:v>
      </x:c>
      <x:c r="C118" s="8" t="str">
        <x:v>Native compact working relations</x:v>
      </x:c>
      <x:c r="D118" s="8" t="str">
        <x:v>Required</x:v>
      </x:c>
      <x:c r="E118" s="8" t="str">
        <x:v>P0</x:v>
      </x:c>
      <x:c r="F118" s="8" t="str">
        <x:v>Native</x:v>
      </x:c>
      <x:c r="G118" s="8" t="str">
        <x:v>Use contiguous column buffers for hot joins.</x:v>
      </x:c>
      <x:c r="H118" s="8" t="str">
        <x:v>https://raw.githubusercontent.com/mylonasc/gestaltdb/main/src/gestaltdb/kvstores.py</x:v>
      </x:c>
      <x:c r="I118" s="8" t="str">
        <x:v>Proposed audit; verify with tests before changing status.</x:v>
      </x:c>
      <x:c r="J118" s="8" t="str"/>
      <x:c r="K118" s="8" t="str"/>
    </x:row>
    <x:row r="119" ht="22" customHeight="1">
      <x:c r="A119" s="8" t="str">
        <x:v>GR-118</x:v>
      </x:c>
      <x:c r="B119" s="8" t="str">
        <x:v>RocksDB &amp; Arrow runtime</x:v>
      </x:c>
      <x:c r="C119" s="8" t="str">
        <x:v>Native joins &amp; delta loops</x:v>
      </x:c>
      <x:c r="D119" s="8" t="str">
        <x:v>Required</x:v>
      </x:c>
      <x:c r="E119" s="8" t="str">
        <x:v>P0</x:v>
      </x:c>
      <x:c r="F119" s="8" t="str">
        <x:v>Native</x:v>
      </x:c>
      <x:c r="G119" s="8" t="str">
        <x:v>Process million-row relations without repeated Python execution.</x:v>
      </x:c>
      <x:c r="H119" s="8" t="str">
        <x:v>https://raw.githubusercontent.com/mylonasc/gestaltdb/main/src/gestaltdb/kvstores.py</x:v>
      </x:c>
      <x:c r="I119" s="8" t="str">
        <x:v>Proposed audit; verify with tests before changing status.</x:v>
      </x:c>
      <x:c r="J119" s="8" t="str"/>
      <x:c r="K119" s="8" t="str"/>
    </x:row>
    <x:row r="120" ht="22" customHeight="1">
      <x:c r="A120" s="8" t="str">
        <x:v>GR-119</x:v>
      </x:c>
      <x:c r="B120" s="8" t="str">
        <x:v>RocksDB &amp; Arrow runtime</x:v>
      </x:c>
      <x:c r="C120" s="8" t="str">
        <x:v>Multithreaded hash/merge joins</x:v>
      </x:c>
      <x:c r="D120" s="8" t="str">
        <x:v>Required</x:v>
      </x:c>
      <x:c r="E120" s="8" t="str">
        <x:v>P1</x:v>
      </x:c>
      <x:c r="F120" s="8" t="str">
        <x:v>Native</x:v>
      </x:c>
      <x:c r="G120" s="8" t="str">
        <x:v>Scale CPU-bound joins with thread count.</x:v>
      </x:c>
      <x:c r="H120" s="8" t="str">
        <x:v>https://raw.githubusercontent.com/mylonasc/gestaltdb/main/src/gestaltdb/kvstores.py</x:v>
      </x:c>
      <x:c r="I120" s="8" t="str">
        <x:v>Proposed audit; verify with tests before changing status.</x:v>
      </x:c>
      <x:c r="J120" s="8" t="str"/>
      <x:c r="K120" s="8" t="str"/>
    </x:row>
    <x:row r="121" ht="22" customHeight="1">
      <x:c r="A121" s="8" t="str">
        <x:v>GR-120</x:v>
      </x:c>
      <x:c r="B121" s="8" t="str">
        <x:v>RocksDB &amp; Arrow runtime</x:v>
      </x:c>
      <x:c r="C121" s="8" t="str">
        <x:v>Atomic derived generation swap</x:v>
      </x:c>
      <x:c r="D121" s="8" t="str">
        <x:v>Required</x:v>
      </x:c>
      <x:c r="E121" s="8" t="str">
        <x:v>P1</x:v>
      </x:c>
      <x:c r="F121" s="8" t="str">
        <x:v>RocksDB</x:v>
      </x:c>
      <x:c r="G121" s="8" t="str">
        <x:v>Readers see old or new closure, not partial derived state.</x:v>
      </x:c>
      <x:c r="H121" s="8" t="str">
        <x:v>https://raw.githubusercontent.com/mylonasc/gestaltdb/main/src/gestaltdb/kvstores.py</x:v>
      </x:c>
      <x:c r="I121" s="8" t="str">
        <x:v>Proposed audit; verify with tests before changing status.</x:v>
      </x:c>
      <x:c r="J121" s="8" t="str"/>
      <x:c r="K121" s="8" t="str"/>
    </x:row>
    <x:row r="122" ht="22" customHeight="1">
      <x:c r="A122" s="8" t="str">
        <x:v>GR-121</x:v>
      </x:c>
      <x:c r="B122" s="8" t="str">
        <x:v>RocksDB &amp; Arrow runtime</x:v>
      </x:c>
      <x:c r="C122" s="8" t="str">
        <x:v>Spilling &amp; memory budgets</x:v>
      </x:c>
      <x:c r="D122" s="8" t="str">
        <x:v>Required</x:v>
      </x:c>
      <x:c r="E122" s="8" t="str">
        <x:v>P1</x:v>
      </x:c>
      <x:c r="F122" s="8" t="str">
        <x:v>Native/RocksDB</x:v>
      </x:c>
      <x:c r="G122" s="8" t="str">
        <x:v>Bound peak RSS and use external sort/hash spill.</x:v>
      </x:c>
      <x:c r="H122" s="8" t="str">
        <x:v>https://raw.githubusercontent.com/mylonasc/gestaltdb/main/src/gestaltdb/kvstores.py</x:v>
      </x:c>
      <x:c r="I122" s="8" t="str">
        <x:v>Proposed audit; verify with tests before changing status.</x:v>
      </x:c>
      <x:c r="J122" s="8" t="str"/>
      <x:c r="K122" s="8" t="str"/>
    </x:row>
    <x:row r="123" ht="22" customHeight="1">
      <x:c r="A123" s="8" t="str">
        <x:v>GR-122</x:v>
      </x:c>
      <x:c r="B123" s="8" t="str">
        <x:v>RocksDB &amp; Arrow runtime</x:v>
      </x:c>
      <x:c r="C123" s="8" t="str">
        <x:v>GIL-free batch execution</x:v>
      </x:c>
      <x:c r="D123" s="8" t="str">
        <x:v>Required</x:v>
      </x:c>
      <x:c r="E123" s="8" t="str">
        <x:v>P1</x:v>
      </x:c>
      <x:c r="F123" s="8" t="str">
        <x:v>Native</x:v>
      </x:c>
      <x:c r="G123" s="8" t="str">
        <x:v>Allow other Python operations to proceed during long computations.</x:v>
      </x:c>
      <x:c r="H123" s="8" t="str">
        <x:v>https://raw.githubusercontent.com/mylonasc/gestaltdb/main/src/gestaltdb/kvstores.py</x:v>
      </x:c>
      <x:c r="I123" s="8" t="str">
        <x:v>Proposed audit; verify with tests before changing status.</x:v>
      </x:c>
      <x:c r="J123" s="8" t="str"/>
      <x:c r="K123" s="8" t="str"/>
    </x:row>
    <x:row r="124" ht="22" customHeight="1">
      <x:c r="A124" s="8" t="str">
        <x:v>GR-123</x:v>
      </x:c>
      <x:c r="B124" s="8" t="str">
        <x:v>RocksDB &amp; Arrow runtime</x:v>
      </x:c>
      <x:c r="C124" s="8" t="str">
        <x:v>Native instrumentation</x:v>
      </x:c>
      <x:c r="D124" s="8" t="str">
        <x:v>Required</x:v>
      </x:c>
      <x:c r="E124" s="8" t="str">
        <x:v>P0</x:v>
      </x:c>
      <x:c r="F124" s="8" t="str">
        <x:v>Native</x:v>
      </x:c>
      <x:c r="G124" s="8" t="str">
        <x:v>Counters for scanned/joined/emitted/deduped tuples.</x:v>
      </x:c>
      <x:c r="H124" s="8" t="str">
        <x:v>https://raw.githubusercontent.com/mylonasc/gestaltdb/main/src/gestaltdb/kvstores.py</x:v>
      </x:c>
      <x:c r="I124" s="8" t="str">
        <x:v>Proposed audit; verify with tests before changing status.</x:v>
      </x:c>
      <x:c r="J124" s="8" t="str"/>
      <x:c r="K124" s="8" t="str"/>
    </x:row>
    <x:row r="125" ht="22" customHeight="1">
      <x:c r="A125" s="8" t="str">
        <x:v>GR-124</x:v>
      </x:c>
      <x:c r="B125" s="8" t="str">
        <x:v>RocksDB &amp; Arrow runtime</x:v>
      </x:c>
      <x:c r="C125" s="8" t="str">
        <x:v>Cancellation and time limits</x:v>
      </x:c>
      <x:c r="D125" s="8" t="str">
        <x:v>Required</x:v>
      </x:c>
      <x:c r="E125" s="8" t="str">
        <x:v>P1</x:v>
      </x:c>
      <x:c r="F125" s="8" t="str">
        <x:v>Native</x:v>
      </x:c>
      <x:c r="G125" s="8" t="str">
        <x:v>Stop safely without partial publication.</x:v>
      </x:c>
      <x:c r="H125" s="8" t="str">
        <x:v>https://raw.githubusercontent.com/mylonasc/gestaltdb/main/src/gestaltdb/kvstores.py</x:v>
      </x:c>
      <x:c r="I125" s="8" t="str">
        <x:v>Proposed audit; verify with tests before changing status.</x:v>
      </x:c>
      <x:c r="J125" s="8" t="str"/>
      <x:c r="K125" s="8" t="str"/>
    </x:row>
    <x:row r="126" ht="22" customHeight="1">
      <x:c r="A126" s="8" t="str">
        <x:v>GR-125</x:v>
      </x:c>
      <x:c r="B126" s="8" t="str">
        <x:v>RocksDB &amp; Arrow runtime</x:v>
      </x:c>
      <x:c r="C126" s="8" t="str">
        <x:v>Zero-copy ownership/lifetime tests</x:v>
      </x:c>
      <x:c r="D126" s="8" t="str">
        <x:v>Required</x:v>
      </x:c>
      <x:c r="E126" s="8" t="str">
        <x:v>P0</x:v>
      </x:c>
      <x:c r="F126" s="8" t="str">
        <x:v>Native</x:v>
      </x:c>
      <x:c r="G126" s="8" t="str">
        <x:v>No dangling buffers across Arrow/PyRex snapshots.</x:v>
      </x:c>
      <x:c r="H126" s="8" t="str">
        <x:v>https://raw.githubusercontent.com/mylonasc/gestaltdb/main/src/gestaltdb/kvstores.py</x:v>
      </x:c>
      <x:c r="I126" s="8" t="str">
        <x:v>Proposed audit; verify with tests before changing status.</x:v>
      </x:c>
      <x:c r="J126" s="8" t="str"/>
      <x:c r="K126" s="8" t="str"/>
    </x:row>
    <x:row r="127" ht="22" customHeight="1">
      <x:c r="A127" s="8" t="str">
        <x:v>GR-126</x:v>
      </x:c>
      <x:c r="B127" s="8" t="str">
        <x:v>Quality &amp; integration</x:v>
      </x:c>
      <x:c r="C127" s="8" t="str">
        <x:v>Bounded resource controls</x:v>
      </x:c>
      <x:c r="D127" s="8" t="str">
        <x:v>Available</x:v>
      </x:c>
      <x:c r="E127" s="8" t="str">
        <x:v>P0</x:v>
      </x:c>
      <x:c r="F127" s="8" t="str">
        <x:v>Python</x:v>
      </x:c>
      <x:c r="G127" s="8" t="str">
        <x:v>Enforce iterations, derivations, justifications limits.</x:v>
      </x:c>
      <x:c r="H127" s="8" t="str">
        <x:v>https://mylonasc.github.io/gestaltdb/performance.html</x:v>
      </x:c>
      <x:c r="I127" s="8" t="str">
        <x:v>Proposed audit; verify with tests before changing status.</x:v>
      </x:c>
      <x:c r="J127" s="8" t="str"/>
      <x:c r="K127" s="8" t="str"/>
    </x:row>
    <x:row r="128" ht="22" customHeight="1">
      <x:c r="A128" s="8" t="str">
        <x:v>GR-127</x:v>
      </x:c>
      <x:c r="B128" s="8" t="str">
        <x:v>Quality &amp; integration</x:v>
      </x:c>
      <x:c r="C128" s="8" t="str">
        <x:v>Reasoning plan inspection</x:v>
      </x:c>
      <x:c r="D128" s="8" t="str">
        <x:v>Required</x:v>
      </x:c>
      <x:c r="E128" s="8" t="str">
        <x:v>P0</x:v>
      </x:c>
      <x:c r="F128" s="8" t="str">
        <x:v>Planner</x:v>
      </x:c>
      <x:c r="G128" s="8" t="str">
        <x:v>Show join order, estimated and actual row counts.</x:v>
      </x:c>
      <x:c r="H128" s="8" t="str">
        <x:v>https://mylonasc.github.io/gestaltdb/performance.html</x:v>
      </x:c>
      <x:c r="I128" s="8" t="str">
        <x:v>Proposed audit; verify with tests before changing status.</x:v>
      </x:c>
      <x:c r="J128" s="8" t="str"/>
      <x:c r="K128" s="8" t="str"/>
    </x:row>
    <x:row r="129" ht="22" customHeight="1">
      <x:c r="A129" s="8" t="str">
        <x:v>GR-128</x:v>
      </x:c>
      <x:c r="B129" s="8" t="str">
        <x:v>Quality &amp; integration</x:v>
      </x:c>
      <x:c r="C129" s="8" t="str">
        <x:v>Soundness differential tests</x:v>
      </x:c>
      <x:c r="D129" s="8" t="str">
        <x:v>Required</x:v>
      </x:c>
      <x:c r="E129" s="8" t="str">
        <x:v>P0</x:v>
      </x:c>
      <x:c r="F129" s="8" t="str">
        <x:v>Tests</x:v>
      </x:c>
      <x:c r="G129" s="8" t="str">
        <x:v>Match slow trusted reference closure.</x:v>
      </x:c>
      <x:c r="H129" s="8" t="str">
        <x:v>https://mylonasc.github.io/gestaltdb/performance.html</x:v>
      </x:c>
      <x:c r="I129" s="8" t="str">
        <x:v>Proposed audit; verify with tests before changing status.</x:v>
      </x:c>
      <x:c r="J129" s="8" t="str"/>
      <x:c r="K129" s="8" t="str"/>
    </x:row>
    <x:row r="130" ht="22" customHeight="1">
      <x:c r="A130" s="8" t="str">
        <x:v>GR-129</x:v>
      </x:c>
      <x:c r="B130" s="8" t="str">
        <x:v>Quality &amp; integration</x:v>
      </x:c>
      <x:c r="C130" s="8" t="str">
        <x:v>Completeness profile tests</x:v>
      </x:c>
      <x:c r="D130" s="8" t="str">
        <x:v>Required</x:v>
      </x:c>
      <x:c r="E130" s="8" t="str">
        <x:v>P0</x:v>
      </x:c>
      <x:c r="F130" s="8" t="str">
        <x:v>Tests</x:v>
      </x:c>
      <x:c r="G130" s="8" t="str">
        <x:v>Pass declared RDFS/OWL-RL subset test corpus.</x:v>
      </x:c>
      <x:c r="H130" s="8" t="str">
        <x:v>https://mylonasc.github.io/gestaltdb/performance.html</x:v>
      </x:c>
      <x:c r="I130" s="8" t="str">
        <x:v>Proposed audit; verify with tests before changing status.</x:v>
      </x:c>
      <x:c r="J130" s="8" t="str"/>
      <x:c r="K130" s="8" t="str"/>
    </x:row>
    <x:row r="131" ht="22" customHeight="1">
      <x:c r="A131" s="8" t="str">
        <x:v>GR-130</x:v>
      </x:c>
      <x:c r="B131" s="8" t="str">
        <x:v>Quality &amp; integration</x:v>
      </x:c>
      <x:c r="C131" s="8" t="str">
        <x:v>Deterministic repeated-run tests</x:v>
      </x:c>
      <x:c r="D131" s="8" t="str">
        <x:v>Required</x:v>
      </x:c>
      <x:c r="E131" s="8" t="str">
        <x:v>P0</x:v>
      </x:c>
      <x:c r="F131" s="8" t="str">
        <x:v>Tests</x:v>
      </x:c>
      <x:c r="G131" s="8" t="str">
        <x:v>Same input + snapshot + rules yields identical closure.</x:v>
      </x:c>
      <x:c r="H131" s="8" t="str">
        <x:v>https://mylonasc.github.io/gestaltdb/performance.html</x:v>
      </x:c>
      <x:c r="I131" s="8" t="str">
        <x:v>Proposed audit; verify with tests before changing status.</x:v>
      </x:c>
      <x:c r="J131" s="8" t="str"/>
      <x:c r="K131" s="8" t="str"/>
    </x:row>
    <x:row r="132" ht="22" customHeight="1">
      <x:c r="A132" s="8" t="str">
        <x:v>GR-131</x:v>
      </x:c>
      <x:c r="B132" s="8" t="str">
        <x:v>Quality &amp; integration</x:v>
      </x:c>
      <x:c r="C132" s="8" t="str">
        <x:v>Native/Python property tests</x:v>
      </x:c>
      <x:c r="D132" s="8" t="str">
        <x:v>Required</x:v>
      </x:c>
      <x:c r="E132" s="8" t="str">
        <x:v>P0</x:v>
      </x:c>
      <x:c r="F132" s="8" t="str">
        <x:v>Tests</x:v>
      </x:c>
      <x:c r="G132" s="8" t="str">
        <x:v>Differential random graph/rule evaluation.</x:v>
      </x:c>
      <x:c r="H132" s="8" t="str">
        <x:v>https://mylonasc.github.io/gestaltdb/performance.html</x:v>
      </x:c>
      <x:c r="I132" s="8" t="str">
        <x:v>Proposed audit; verify with tests before changing status.</x:v>
      </x:c>
      <x:c r="J132" s="8" t="str"/>
      <x:c r="K132" s="8" t="str"/>
    </x:row>
    <x:row r="133" ht="22" customHeight="1">
      <x:c r="A133" s="8" t="str">
        <x:v>GR-132</x:v>
      </x:c>
      <x:c r="B133" s="8" t="str">
        <x:v>Quality &amp; integration</x:v>
      </x:c>
      <x:c r="C133" s="8" t="str">
        <x:v>RDF/OWL import normalization</x:v>
      </x:c>
      <x:c r="D133" s="8" t="str">
        <x:v>Required</x:v>
      </x:c>
      <x:c r="E133" s="8" t="str">
        <x:v>P1</x:v>
      </x:c>
      <x:c r="F133" s="8" t="str">
        <x:v>Interop</x:v>
      </x:c>
      <x:c r="G133" s="8" t="str">
        <x:v>Parse external ontology axioms to compiler IR.</x:v>
      </x:c>
      <x:c r="H133" s="8" t="str">
        <x:v>https://mylonasc.github.io/gestaltdb/performance.html</x:v>
      </x:c>
      <x:c r="I133" s="8" t="str">
        <x:v>Proposed audit; verify with tests before changing status.</x:v>
      </x:c>
      <x:c r="J133" s="8" t="str"/>
      <x:c r="K133" s="8" t="str"/>
    </x:row>
    <x:row r="134" ht="22" customHeight="1">
      <x:c r="A134" s="8" t="str">
        <x:v>GR-133</x:v>
      </x:c>
      <x:c r="B134" s="8" t="str">
        <x:v>Quality &amp; integration</x:v>
      </x:c>
      <x:c r="C134" s="8" t="str">
        <x:v>Inference-specific benchmark suite</x:v>
      </x:c>
      <x:c r="D134" s="8" t="str">
        <x:v>Required</x:v>
      </x:c>
      <x:c r="E134" s="8" t="str">
        <x:v>P0</x:v>
      </x:c>
      <x:c r="F134" s="8" t="str">
        <x:v>Benchmarks</x:v>
      </x:c>
      <x:c r="G134" s="8" t="str">
        <x:v>Measure closure and incremental updates separately from ingest.</x:v>
      </x:c>
      <x:c r="H134" s="8" t="str">
        <x:v>https://mylonasc.github.io/gestaltdb/performance.html</x:v>
      </x:c>
      <x:c r="I134" s="8" t="str">
        <x:v>Proposed audit; verify with tests before changing status.</x:v>
      </x:c>
      <x:c r="J134" s="8" t="str"/>
      <x:c r="K134" s="8" t="str"/>
    </x:row>
    <x:row r="135" ht="22" customHeight="1">
      <x:c r="A135" s="8" t="str">
        <x:v>GR-134</x:v>
      </x:c>
      <x:c r="B135" s="8" t="str">
        <x:v>Quality &amp; integration</x:v>
      </x:c>
      <x:c r="C135" s="8" t="str">
        <x:v>Operator-level timing/memory</x:v>
      </x:c>
      <x:c r="D135" s="8" t="str">
        <x:v>Required</x:v>
      </x:c>
      <x:c r="E135" s="8" t="str">
        <x:v>P0</x:v>
      </x:c>
      <x:c r="F135" s="8" t="str">
        <x:v>Benchmarks</x:v>
      </x:c>
      <x:c r="G135" s="8" t="str">
        <x:v>Track wall CPU time, RSS, spill and RocksDB read/write.</x:v>
      </x:c>
      <x:c r="H135" s="8" t="str">
        <x:v>https://mylonasc.github.io/gestaltdb/performance.html</x:v>
      </x:c>
      <x:c r="I135" s="8" t="str">
        <x:v>Proposed audit; verify with tests before changing status.</x:v>
      </x:c>
      <x:c r="J135" s="8" t="str"/>
      <x:c r="K135" s="8" t="str"/>
    </x:row>
    <x:row r="136" ht="22" customHeight="1">
      <x:c r="A136" s="8" t="str">
        <x:v>GR-135</x:v>
      </x:c>
      <x:c r="B136" s="8" t="str">
        <x:v>Quality &amp; integration</x:v>
      </x:c>
      <x:c r="C136" s="8" t="str">
        <x:v>Snapshot/plan compatibility checks</x:v>
      </x:c>
      <x:c r="D136" s="8" t="str">
        <x:v>Partial</x:v>
      </x:c>
      <x:c r="E136" s="8" t="str">
        <x:v>P1</x:v>
      </x:c>
      <x:c r="F136" s="8" t="str">
        <x:v>Storage</x:v>
      </x:c>
      <x:c r="G136" s="8" t="str">
        <x:v>Invalidate compiled materializations on schema/ontology changes.</x:v>
      </x:c>
      <x:c r="H136" s="8" t="str">
        <x:v>https://mylonasc.github.io/gestaltdb/performance.html</x:v>
      </x:c>
      <x:c r="I136" s="8" t="str">
        <x:v>Proposed audit; verify with tests before changing status.</x:v>
      </x:c>
      <x:c r="J136" s="8" t="str"/>
      <x:c r="K136" s="8" t="str"/>
    </x:row>
    <x:row r="137" ht="22" customHeight="1">
      <x:c r="A137" s="8" t="str">
        <x:v>GR-136</x:v>
      </x:c>
      <x:c r="B137" s="8" t="str">
        <x:v>Quality &amp; integration</x:v>
      </x:c>
      <x:c r="C137" s="8" t="str">
        <x:v>Recovery/checkpoint</x:v>
      </x:c>
      <x:c r="D137" s="8" t="str">
        <x:v>Required</x:v>
      </x:c>
      <x:c r="E137" s="8" t="str">
        <x:v>P2</x:v>
      </x:c>
      <x:c r="F137" s="8" t="str">
        <x:v>Storage</x:v>
      </x:c>
      <x:c r="G137" s="8" t="str">
        <x:v>Resume or safely discard failed large inference run.</x:v>
      </x:c>
      <x:c r="H137" s="8" t="str">
        <x:v>https://mylonasc.github.io/gestaltdb/performance.html</x:v>
      </x:c>
      <x:c r="I137" s="8" t="str">
        <x:v>Proposed audit; verify with tests before changing status.</x:v>
      </x:c>
      <x:c r="J137" s="8" t="str"/>
      <x:c r="K137" s="8" t="str"/>
    </x:row>
  </x:sheetData>
  <x:conditionalFormatting sqref="D2:D137">
    <x:cfRule type="expression" dxfId="0" priority="1">
      <x:formula>$D2="Available"</x:formula>
    </x:cfRule>
    <x:cfRule type="expression" dxfId="1" priority="2">
      <x:formula>$D2="Required"</x:formula>
    </x:cfRule>
    <x:cfRule type="expression" dxfId="2" priority="3">
      <x:formula>$D2="Partial"</x:formula>
    </x:cfRule>
    <x:cfRule type="expression" dxfId="3" priority="4">
      <x:formula>$D2="Optional"</x:formula>
    </x:cfRule>
    <x:cfRule type="expression" dxfId="4" priority="5">
      <x:formula>$D2="In progress"</x:formula>
    </x:cfRule>
    <x:cfRule type="expression" dxfId="5" priority="6">
      <x:formula>$D2="Blocked"</x:formula>
    </x:cfRule>
    <x:cfRule type="expression" dxfId="6" priority="7">
      <x:formula>$D2="Verified"</x:formula>
    </x:cfRule>
  </x:conditionalFormatting>
  <x:dataValidations count="2">
    <x:dataValidation type="list" sqref="D2:D137">
      <x:formula1>"Available,Partial,Required,Optional,In progress,Blocked,Verified"</x:formula1>
    </x:dataValidation>
    <x:dataValidation type="list" sqref="E2:E137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1673c8500a4d37"/>
  </x:tableParts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13" hidden="0" customWidth="1"/>
    <x:col min="3" max="3" width="4" hidden="0" customWidth="1"/>
    <x:col min="4" max="4" width="25" hidden="0" customWidth="1"/>
    <x:col min="5" max="5" width="13" hidden="0" customWidth="1"/>
  </x:cols>
  <x:sheetData>
    <x:row r="1" ht="36" customHeight="1">
      <x:c r="A1" s="10" t="str">
        <x:v>GESTALTDB · ONTOLOGICAL REASONING GAP ASSESSMENT</x:v>
      </x:c>
      <x:c r="B1" s="10"/>
      <x:c r="C1" s="10"/>
      <x:c r="D1" s="10"/>
      <x:c r="E1" s="10"/>
    </x:row>
    <x:row r="3">
      <x:c r="A3" s="15" t="str">
        <x:v>Audit status</x:v>
      </x:c>
      <x:c r="B3" s="15" t="str">
        <x:v>Count</x:v>
      </x:c>
      <x:c r="D3" s="15" t="str">
        <x:v>Priority</x:v>
      </x:c>
      <x:c r="E3" s="15" t="str">
        <x:v>Count</x:v>
      </x:c>
    </x:row>
    <x:row r="4">
      <x:c r="A4" t="str">
        <x:v>Available</x:v>
      </x:c>
      <x:c r="B4" t="n">
        <x:f>COUNTIF('Feature Register'!$D$2:$D$137,A4)</x:f>
        <x:v>21</x:v>
      </x:c>
      <x:c r="D4" t="str">
        <x:v>P0</x:v>
      </x:c>
      <x:c r="E4" t="n">
        <x:f>COUNTIF('Feature Register'!$E$2:$E$137,D4)</x:f>
        <x:v>57</x:v>
      </x:c>
    </x:row>
    <x:row r="5">
      <x:c r="A5" t="str">
        <x:v>Partial</x:v>
      </x:c>
      <x:c r="B5" t="n">
        <x:f>COUNTIF('Feature Register'!$D$2:$D$137,A5)</x:f>
        <x:v>30</x:v>
      </x:c>
      <x:c r="D5" t="str">
        <x:v>P1</x:v>
      </x:c>
      <x:c r="E5" t="n">
        <x:f>COUNTIF('Feature Register'!$E$2:$E$137,D5)</x:f>
        <x:v>54</x:v>
      </x:c>
    </x:row>
    <x:row r="6">
      <x:c r="A6" t="str">
        <x:v>Required</x:v>
      </x:c>
      <x:c r="B6" t="n">
        <x:f>COUNTIF('Feature Register'!$D$2:$D$137,A6)</x:f>
        <x:v>81</x:v>
      </x:c>
      <x:c r="D6" t="str">
        <x:v>P2</x:v>
      </x:c>
      <x:c r="E6" t="n">
        <x:f>COUNTIF('Feature Register'!$E$2:$E$137,D6)</x:f>
        <x:v>22</x:v>
      </x:c>
    </x:row>
    <x:row r="7">
      <x:c r="A7" t="str">
        <x:v>Optional</x:v>
      </x:c>
      <x:c r="B7" t="n">
        <x:f>COUNTIF('Feature Register'!$D$2:$D$137,A7)</x:f>
        <x:v>4</x:v>
      </x:c>
      <x:c r="D7" t="str">
        <x:v>P3</x:v>
      </x:c>
      <x:c r="E7" t="n">
        <x:f>COUNTIF('Feature Register'!$E$2:$E$137,D7)</x:f>
        <x:v>3</x:v>
      </x:c>
    </x:row>
    <x:row r="8">
      <x:c r="A8" t="str">
        <x:v>In progress</x:v>
      </x:c>
      <x:c r="B8" t="n">
        <x:f>COUNTIF('Feature Register'!$D$2:$D$137,A8)</x:f>
        <x:v>0</x:v>
      </x:c>
    </x:row>
    <x:row r="9">
      <x:c r="A9" t="str">
        <x:v>Blocked</x:v>
      </x:c>
      <x:c r="B9" t="n">
        <x:f>COUNTIF('Feature Register'!$D$2:$D$137,A9)</x:f>
        <x:v>0</x:v>
      </x:c>
    </x:row>
    <x:row r="10">
      <x:c r="A10" t="str">
        <x:v>Verified</x:v>
      </x:c>
      <x:c r="B10" t="n">
        <x:f>COUNTIF('Feature Register'!$D$2:$D$137,A10)</x:f>
        <x:v>0</x:v>
      </x:c>
    </x:row>
    <x:row r="12">
      <x:c r="A12" t="str">
        <x:v>Total constructs</x:v>
      </x:c>
      <x:c r="B12" t="n">
        <x:f>SUM(B4:B10)</x:f>
        <x:v>136</x:v>
      </x:c>
    </x:row>
    <x:row r="14">
      <x:c r="A14" s="15" t="str">
        <x:v>How to use this tracker</x:v>
      </x:c>
      <x:c r="B14" s="15"/>
      <x:c r="C14" s="15"/>
      <x:c r="D14" s="15"/>
      <x:c r="E14" s="15"/>
    </x:row>
    <x:row r="15" ht="32" customHeight="1">
      <x:c r="A15" s="12" t="str">
        <x:v>Audit status reflects inspected public code/docs as of 20 Oct 2026; it is not a certified test verdict. Keep initial 'Available' and 'Partial' statuses until tests confirm precise behavior. Assign owners and milestones, switch status to In progress / Verified as work proceeds. P0 = architectural foundation; P1 = essential functionality; P2 = advanced capability; P3 = research/specialized.</x:v>
      </x:c>
      <x:c r="B15" s="12"/>
      <x:c r="C15" s="12"/>
      <x:c r="D15" s="12"/>
      <x:c r="E15" s="12"/>
    </x:row>
    <x:row r="16" ht="32" customHeight="1">
      <x:c r="A16" s="12"/>
      <x:c r="B16" s="12"/>
      <x:c r="C16" s="12"/>
      <x:c r="D16" s="12"/>
      <x:c r="E16" s="12"/>
    </x:row>
    <x:row r="17" ht="32" customHeight="1">
      <x:c r="A17" s="12"/>
      <x:c r="B17" s="12"/>
      <x:c r="C17" s="12"/>
      <x:c r="D17" s="12"/>
      <x:c r="E17" s="12"/>
    </x:row>
    <x:row r="18" ht="32" customHeight="1">
      <x:c r="A18" s="12"/>
      <x:c r="B18" s="12"/>
      <x:c r="C18" s="12"/>
      <x:c r="D18" s="12"/>
      <x:c r="E18" s="12"/>
    </x:row>
  </x:sheetData>
  <x:mergeCells>
    <x:mergeCell ref="A1:E1"/>
    <x:mergeCell ref="A14:E14"/>
    <x:mergeCell ref="A15:E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26" hidden="0" customWidth="1"/>
    <x:col min="3" max="3" width="70" hidden="0" customWidth="1"/>
    <x:col min="4" max="4" width="12" hidden="0" customWidth="1"/>
    <x:col min="5" max="5" width="26" hidden="0" customWidth="1"/>
    <x:col min="6" max="6" width="74" hidden="0" customWidth="1"/>
    <x:col min="7" max="7" width="15" hidden="0" customWidth="1"/>
  </x:cols>
  <x:sheetData>
    <x:row r="1" ht="32" customHeight="1">
      <x:c r="A1" s="3" t="str">
        <x:v>Milestone</x:v>
      </x:c>
      <x:c r="B1" s="3" t="str">
        <x:v>Name</x:v>
      </x:c>
      <x:c r="C1" s="3" t="str">
        <x:v>Deliverable</x:v>
      </x:c>
      <x:c r="D1" s="3" t="str">
        <x:v>Priority</x:v>
      </x:c>
      <x:c r="E1" s="3" t="str">
        <x:v>Lead layer</x:v>
      </x:c>
      <x:c r="F1" s="3" t="str">
        <x:v>Acceptance gate</x:v>
      </x:c>
      <x:c r="G1" s="3" t="str">
        <x:v>Status</x:v>
      </x:c>
    </x:row>
    <x:row r="2" ht="35" customHeight="1">
      <x:c r="A2" t="str">
        <x:v>M0</x:v>
      </x:c>
      <x:c r="B2" t="str">
        <x:v>Contract &amp; baseline</x:v>
      </x:c>
      <x:c r="C2" s="12" t="str">
        <x:v>Establish soundness corpus, workload profiles, reasoner IR and explain plan</x:v>
      </x:c>
      <x:c r="D2" s="12" t="str">
        <x:v>P0</x:v>
      </x:c>
      <x:c r="E2" s="12" t="str">
        <x:v>Python</x:v>
      </x:c>
      <x:c r="F2" s="12" t="str">
        <x:v>No regression in existing run_rules / maintain_truth</x:v>
      </x:c>
      <x:c r="G2" s="12" t="str">
        <x:v>Proposed</x:v>
      </x:c>
    </x:row>
    <x:row r="3" ht="35" customHeight="1">
      <x:c r="A3" t="str">
        <x:v>M1</x:v>
      </x:c>
      <x:c r="B3" t="str">
        <x:v>Native scan + dictionary</x:v>
      </x:c>
      <x:c r="C3" s="12" t="str">
        <x:v>Batched predicate scans, compact IDs, Arrow stream in/out</x:v>
      </x:c>
      <x:c r="D3" s="12" t="str">
        <x:v>P0</x:v>
      </x:c>
      <x:c r="E3" s="12" t="str">
        <x:v>PyRex C++ / Rust</x:v>
      </x:c>
      <x:c r="F3" s="12" t="str">
        <x:v>Mass ingestion + indexed read and memory benchmark</x:v>
      </x:c>
      <x:c r="G3" s="12" t="str">
        <x:v>Proposed</x:v>
      </x:c>
    </x:row>
    <x:row r="4" ht="35" customHeight="1">
      <x:c r="A4" t="str">
        <x:v>M2</x:v>
      </x:c>
      <x:c r="B4" t="str">
        <x:v>Native fixpoint &amp; joins</x:v>
      </x:c>
      <x:c r="C4" s="12" t="str">
        <x:v>Delta joins, indexing, join planning, dedup, SCC scheduling</x:v>
      </x:c>
      <x:c r="D4" s="12" t="str">
        <x:v>P0</x:v>
      </x:c>
      <x:c r="E4" s="12" t="str">
        <x:v>Native</x:v>
      </x:c>
      <x:c r="F4" s="12" t="str">
        <x:v>Same derivations as reference at materially lower time/RSS</x:v>
      </x:c>
      <x:c r="G4" s="12" t="str">
        <x:v>Proposed</x:v>
      </x:c>
    </x:row>
    <x:row r="5" ht="35" customHeight="1">
      <x:c r="A5" t="str">
        <x:v>M3</x:v>
      </x:c>
      <x:c r="B5" t="str">
        <x:v>Ontology primitives</x:v>
      </x:c>
      <x:c r="C5" s="12" t="str">
        <x:v>RDFS / selected OWL RL axiom compiler and equality</x:v>
      </x:c>
      <x:c r="D5" s="12" t="str">
        <x:v>P1</x:v>
      </x:c>
      <x:c r="E5" s="12" t="str">
        <x:v>Python compiler + native</x:v>
      </x:c>
      <x:c r="F5" s="12" t="str">
        <x:v>Published supported profile with W3C conformity tests</x:v>
      </x:c>
      <x:c r="G5" s="12" t="str">
        <x:v>Proposed</x:v>
      </x:c>
    </x:row>
    <x:row r="6" ht="35" customHeight="1">
      <x:c r="A6" t="str">
        <x:v>M4</x:v>
      </x:c>
      <x:c r="B6" t="str">
        <x:v>Incremental maintenance</x:v>
      </x:c>
      <x:c r="C6" s="12" t="str">
        <x:v>DRed or B/F + counts + atomic generations</x:v>
      </x:c>
      <x:c r="D6" s="12" t="str">
        <x:v>P1</x:v>
      </x:c>
      <x:c r="E6" s="12" t="str">
        <x:v>Native/RocksDB</x:v>
      </x:c>
      <x:c r="F6" s="12" t="str">
        <x:v>Correct under insertions/deletions/cycles, faster than full rebuild</x:v>
      </x:c>
      <x:c r="G6" s="12" t="str">
        <x:v>Proposed</x:v>
      </x:c>
    </x:row>
    <x:row r="7" ht="35" customHeight="1">
      <x:c r="A7" t="str">
        <x:v>M5</x:v>
      </x:c>
      <x:c r="B7" t="str">
        <x:v>Temporal complete closure</x:v>
      </x:c>
      <x:c r="C7" s="12" t="str">
        <x:v>Interval set semantics and temporal deltas</x:v>
      </x:c>
      <x:c r="D7" s="12" t="str">
        <x:v>P1</x:v>
      </x:c>
      <x:c r="E7" s="12" t="str">
        <x:v>Native</x:v>
      </x:c>
      <x:c r="F7" s="12" t="str">
        <x:v>No support-gap filling; time-range truth and provenance</x:v>
      </x:c>
      <x:c r="G7" s="12" t="str">
        <x:v>Proposed</x:v>
      </x:c>
    </x:row>
    <x:row r="8" ht="35" customHeight="1">
      <x:c r="A8" t="str">
        <x:v>M6</x:v>
      </x:c>
      <x:c r="B8" t="str">
        <x:v>Goal directed modes</x:v>
      </x:c>
      <x:c r="C8" s="12" t="str">
        <x:v>Magic set and hybrid execution</x:v>
      </x:c>
      <x:c r="D8" s="12" t="str">
        <x:v>P2</x:v>
      </x:c>
      <x:c r="E8" s="12" t="str">
        <x:v>Planner/native</x:v>
      </x:c>
      <x:c r="F8" s="12" t="str">
        <x:v>Faster sparse selective queries vs full closure</x:v>
      </x:c>
      <x:c r="G8" s="12" t="str">
        <x:v>Proposed</x:v>
      </x:c>
    </x:row>
    <x:row r="9" ht="35" customHeight="1">
      <x:c r="A9" t="str">
        <x:v>M7</x:v>
      </x:c>
      <x:c r="B9" t="str">
        <x:v>Advanced ontology</x:v>
      </x:c>
      <x:c r="C9" s="12" t="str">
        <x:v>OWL RL completion, OWL EL classifier, SHACL kernels</x:v>
      </x:c>
      <x:c r="D9" s="12" t="str">
        <x:v>P2</x:v>
      </x:c>
      <x:c r="E9" s="12" t="str">
        <x:v>Compiler/native</x:v>
      </x:c>
      <x:c r="F9" s="12" t="str">
        <x:v>Profile-specific semantic compliance suite</x:v>
      </x:c>
      <x:c r="G9" s="12" t="str">
        <x:v>Proposed</x:v>
      </x:c>
    </x:row>
  </x:sheetData>
  <x:pageMargins left="0.7" right="0.7" top="0.75" bottom="0.75" header="0.3" footer="0.3"/>
  <x:tableParts count="1">
    <x:tablePart xmlns:r="http://schemas.openxmlformats.org/officeDocument/2006/relationships" r:id="R8fbae0374f034d3f"/>
  </x:tableParts>
</x:worksheet>
</file>